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45506ec55a48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иломатериал" sheetId="1" r:id="Rec2f8d681f5f4419"/>
    <x:sheet xmlns:r="http://schemas.openxmlformats.org/officeDocument/2006/relationships" name="Комплектность" sheetId="2" r:id="Rfce07a9b1d5f4db8"/>
    <x:sheet xmlns:r="http://schemas.openxmlformats.org/officeDocument/2006/relationships" name="Геометрия" sheetId="3" r:id="Rf47cfb79f04d48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0.000"/>
    <x:numFmt numFmtId="202" formatCode="#,##0.00"/>
    <x:numFmt numFmtId="203" formatCode="0"/>
  </x:numFmts>
  <x:fonts count="9">
    <x:font>
      <x:sz val="11"/>
      <x:name val="Carlito"/>
    </x:font>
    <x:font>
      <x:sz val="11"/>
      <x:color rgb="FF303C36"/>
      <x:name val="Arial"/>
    </x:font>
    <x:font>
      <x:b/>
      <x:sz val="17"/>
      <x:color rgb="FF303C36"/>
      <x:name val="Arial"/>
    </x:font>
    <x:font>
      <x:sz val="11"/>
      <x:color rgb="FF205981"/>
      <x:name val="Arial"/>
    </x:font>
    <x:font>
      <x:b/>
      <x:sz val="11"/>
      <x:color rgb="FFFFFFFF"/>
      <x:name val="Arial"/>
    </x:font>
    <x:font>
      <x:b/>
      <x:sz val="11"/>
      <x:color rgb="FF303C36"/>
      <x:name val="Arial"/>
    </x:font>
    <x:font>
      <x:b/>
      <x:sz val="14"/>
      <x:color rgb="FF303C36"/>
      <x:name val="Arial"/>
    </x:font>
    <x:font>
      <x:sz val="10"/>
      <x:color rgb="FF6E7767"/>
      <x:name val="Arial"/>
    </x:font>
    <x:font>
      <x:b/>
      <x:sz val="10"/>
      <x:color rgb="FF6E776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2CF"/>
      </x:patternFill>
    </x:fill>
    <x:fill>
      <x:patternFill patternType="solid">
        <x:fgColor rgb="FF475D50"/>
      </x:patternFill>
    </x:fill>
    <x:fill>
      <x:patternFill patternType="solid">
        <x:fgColor rgb="FFE8EDE5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200" fontId="3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201" fontId="1" fillId="2" borderId="0" xfId="0" applyNumberFormat="1" applyFont="1" applyFill="1" applyBorder="1" applyAlignment="1">
      <x:alignment vertical="center"/>
    </x:xf>
    <x:xf numFmtId="202" fontId="3" fillId="3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201" fontId="5" fillId="5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203" fontId="1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ill>
        <x:patternFill patternType="solid">
          <x:bgColor rgb="FFFFF2C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b05803394a4566" /><Relationship Type="http://schemas.openxmlformats.org/officeDocument/2006/relationships/theme" Target="/xl/theme/theme1.xml" Id="R8e3cd08c2cdc4813" /><Relationship Type="http://schemas.openxmlformats.org/officeDocument/2006/relationships/sharedStrings" Target="/xl/sharedStrings.xml" Id="R599f765851f9417c" /><Relationship Type="http://schemas.openxmlformats.org/officeDocument/2006/relationships/worksheet" Target="/xl/worksheets/sheet1.xml" Id="Rec2f8d681f5f4419" /><Relationship Type="http://schemas.openxmlformats.org/officeDocument/2006/relationships/worksheet" Target="/xl/worksheets/sheet2.xml" Id="Rfce07a9b1d5f4db8" /><Relationship Type="http://schemas.openxmlformats.org/officeDocument/2006/relationships/worksheet" Target="/xl/worksheets/sheet3.xml" Id="Rf47cfb79f04d48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475D50"/>
  </x:sheetPr>
  <x:sheetViews>
    <x:sheetView showGridLines="0" workbookViewId="0"/>
  </x:sheetViews>
  <x:sheetFormatPr defaultRowHeight="15"/>
  <x:cols>
    <x:col min="1" max="1" width="15" hidden="0" customWidth="1"/>
    <x:col min="2" max="2" width="51" hidden="0" customWidth="1"/>
    <x:col min="3" max="3" width="12" hidden="0" customWidth="1"/>
    <x:col min="4" max="4" width="14" hidden="0" customWidth="1"/>
    <x:col min="5" max="5" width="15" hidden="0" customWidth="1"/>
    <x:col min="6" max="6" width="15" hidden="0" customWidth="1"/>
    <x:col min="7" max="7" width="16" hidden="0" customWidth="1"/>
    <x:col min="8" max="8" width="17" hidden="0" customWidth="1"/>
    <x:col min="9" max="9" width="18" hidden="0" customWidth="1"/>
  </x:cols>
  <x:sheetData>
    <x:row r="1" ht="26" customHeight="1">
      <x:c r="A1" s="3"/>
      <x:c r="B1" s="3"/>
      <x:c r="C1" s="3"/>
      <x:c r="D1" s="3"/>
      <x:c r="E1" s="3"/>
      <x:c r="F1" s="3"/>
      <x:c r="G1" s="3"/>
      <x:c r="H1" s="3"/>
      <x:c r="I1" s="3"/>
    </x:row>
    <x:row r="2" ht="26" customHeight="1">
      <x:c r="A2" s="4" t="str">
        <x:v>Пиломатериал каркаса</x:v>
      </x:c>
      <x:c r="B2" s="3"/>
      <x:c r="C2" s="3"/>
      <x:c r="D2" s="3"/>
      <x:c r="E2" s="3"/>
      <x:c r="F2" s="3"/>
      <x:c r="G2" s="3"/>
      <x:c r="H2" s="3"/>
      <x:c r="I2" s="3"/>
    </x:row>
    <x:row r="3" ht="26" customHeight="1">
      <x:c r="A3" s="3" t="str">
        <x:v>DBR-P11. Предварительные объёмы по графической модели. Полный объём дома ещё не определён.</x:v>
      </x:c>
      <x:c r="B3" s="3"/>
      <x:c r="C3" s="3"/>
      <x:c r="D3" s="3"/>
      <x:c r="E3" s="3"/>
      <x:c r="F3" s="3"/>
      <x:c r="G3" s="3"/>
      <x:c r="H3" s="3"/>
      <x:c r="I3" s="3"/>
    </x:row>
    <x:row r="4" ht="26" customHeight="1">
      <x:c r="A4" s="3"/>
      <x:c r="B4" s="3"/>
      <x:c r="C4" s="3"/>
      <x:c r="D4" s="3"/>
      <x:c r="E4" s="3"/>
      <x:c r="F4" s="3"/>
      <x:c r="G4" s="3"/>
      <x:c r="H4" s="3"/>
      <x:c r="I4" s="3"/>
    </x:row>
    <x:row r="5" ht="26" customHeight="1">
      <x:c r="A5" s="3" t="str">
        <x:v>Толщина, мм</x:v>
      </x:c>
      <x:c r="B5" s="6" t="n">
        <x:v>45</x:v>
      </x:c>
      <x:c r="C5" s="3" t="str">
        <x:v>Запас</x:v>
      </x:c>
      <x:c r="D5" s="7" t="n">
        <x:v>0.1</x:v>
      </x:c>
      <x:c r="E5" s="3" t="str">
        <x:v>45 или 50 мм — сравнение, не утверждённое сечение.</x:v>
      </x:c>
      <x:c r="F5" s="3"/>
      <x:c r="G5" s="3"/>
      <x:c r="H5" s="3"/>
      <x:c r="I5" s="3"/>
    </x:row>
    <x:row r="6" ht="26" customHeight="1">
      <x:c r="A6" s="3"/>
      <x:c r="B6" s="3"/>
      <x:c r="C6" s="3"/>
      <x:c r="D6" s="3"/>
      <x:c r="E6" s="3"/>
      <x:c r="F6" s="3"/>
      <x:c r="G6" s="3"/>
      <x:c r="H6" s="3"/>
      <x:c r="I6" s="3"/>
    </x:row>
    <x:row r="7" ht="36" customHeight="1">
      <x:c r="A7" s="11" t="str">
        <x:v>Группа</x:v>
      </x:c>
      <x:c r="B7" s="11" t="str">
        <x:v>Глубина каркаса</x:v>
      </x:c>
      <x:c r="C7" s="11" t="str">
        <x:v>Нетто, м³</x:v>
      </x:c>
      <x:c r="D7" s="11" t="str">
        <x:v>С запасом, м³</x:v>
      </x:c>
      <x:c r="E7" s="11"/>
      <x:c r="F7" s="11" t="str">
        <x:v>Цена за м³</x:v>
      </x:c>
      <x:c r="G7" s="11"/>
      <x:c r="H7" s="11" t="str">
        <x:v>Сумма</x:v>
      </x:c>
      <x:c r="I7" s="11"/>
    </x:row>
    <x:row r="8" ht="26" customHeight="1">
      <x:c r="A8" s="3" t="str">
        <x:v>Наружные</x:v>
      </x:c>
      <x:c r="B8" s="3" t="n">
        <x:v>200</x:v>
      </x:c>
      <x:c r="C8" s="12" t="n">
        <x:f>SUMIFS(H17:H24,C17:C24,B8)</x:f>
        <x:v>3.1535025</x:v>
      </x:c>
      <x:c r="D8" s="12" t="n">
        <x:f>C8*(1+$D$5)</x:f>
        <x:v>3.4688527500000004</x:v>
      </x:c>
      <x:c r="E8" s="3"/>
      <x:c r="F8" s="13"/>
      <x:c r="G8" s="14"/>
      <x:c r="H8" s="14" t="str">
        <x:f>IF(ISNUMBER(F8),D8*F8,"")</x:f>
      </x:c>
      <x:c r="I8" s="3"/>
    </x:row>
    <x:row r="9" ht="26" customHeight="1">
      <x:c r="A9" s="3" t="str">
        <x:v>Перегородки</x:v>
      </x:c>
      <x:c r="B9" s="3" t="n">
        <x:v>140</x:v>
      </x:c>
      <x:c r="C9" s="12" t="n">
        <x:f>SUMIFS(H17:H24,C17:C24,B9)</x:f>
        <x:v>1.4037030000000001</x:v>
      </x:c>
      <x:c r="D9" s="12" t="n">
        <x:f>C9*(1+$D$5)</x:f>
        <x:v>1.5440733000000002</x:v>
      </x:c>
      <x:c r="E9" s="3"/>
      <x:c r="F9" s="13"/>
      <x:c r="G9" s="14"/>
      <x:c r="H9" s="14" t="str">
        <x:f>IF(ISNUMBER(F9),D9*F9,"")</x:f>
      </x:c>
      <x:c r="I9" s="3"/>
    </x:row>
    <x:row r="10" ht="26" customHeight="1">
      <x:c r="A10" s="3"/>
      <x:c r="B10" s="3"/>
      <x:c r="C10" s="12"/>
      <x:c r="D10" s="12"/>
      <x:c r="E10" s="3"/>
      <x:c r="F10" s="3"/>
      <x:c r="G10" s="3"/>
      <x:c r="H10" s="3"/>
      <x:c r="I10" s="3"/>
    </x:row>
    <x:row r="11" ht="26" customHeight="1">
      <x:c r="A11" s="17" t="str">
        <x:v>Частичный итог</x:v>
      </x:c>
      <x:c r="B11" s="17"/>
      <x:c r="C11" s="18" t="n">
        <x:f>SUM(C8:C9)</x:f>
        <x:v>4.5572055</x:v>
      </x:c>
      <x:c r="D11" s="18" t="n">
        <x:f>SUM(D8:D9)</x:f>
        <x:v>5.012926050000001</x:v>
      </x:c>
      <x:c r="E11" s="17"/>
      <x:c r="F11" s="17"/>
      <x:c r="G11" s="17"/>
      <x:c r="H11" s="17"/>
      <x:c r="I11" s="17"/>
    </x:row>
    <x:row r="12" ht="26" customHeight="1">
      <x:c r="A12" s="3" t="str">
        <x:v>В итог не входят перемычки, усиления, кровля, навес, перекрытия, террасы и крепёж.</x:v>
      </x:c>
      <x:c r="B12" s="3"/>
      <x:c r="C12" s="3"/>
      <x:c r="D12" s="3"/>
      <x:c r="E12" s="3"/>
      <x:c r="F12" s="3"/>
      <x:c r="G12" s="3"/>
      <x:c r="H12" s="3"/>
      <x:c r="I12" s="3"/>
    </x:row>
    <x:row r="13" ht="26" customHeight="1">
      <x:c r="A13" s="3" t="str">
        <x:v>10% — бюджетный запас. Длина поставки и раскрой могут потребовать большего количества.</x:v>
      </x:c>
      <x:c r="B13" s="3"/>
      <x:c r="C13" s="3"/>
      <x:c r="D13" s="3"/>
      <x:c r="E13" s="3"/>
      <x:c r="F13" s="3"/>
      <x:c r="G13" s="3"/>
      <x:c r="H13" s="3"/>
      <x:c r="I13" s="3"/>
    </x:row>
    <x:row r="14" ht="26" customHeight="1">
      <x:c r="A14" s="3" t="str">
        <x:v>Цены для двух сечений вводятся в одной валюте. Это оценка части материала, без работ и доставки.</x:v>
      </x:c>
      <x:c r="B14" s="3"/>
      <x:c r="C14" s="3"/>
      <x:c r="D14" s="3"/>
      <x:c r="E14" s="3"/>
      <x:c r="F14" s="3"/>
      <x:c r="G14" s="3"/>
      <x:c r="H14" s="3"/>
      <x:c r="I14" s="3"/>
    </x:row>
    <x:row r="15" ht="26" customHeight="1">
      <x:c r="A15" s="3"/>
      <x:c r="B15" s="3"/>
      <x:c r="C15" s="3"/>
      <x:c r="D15" s="3"/>
      <x:c r="E15" s="3"/>
      <x:c r="F15" s="3"/>
      <x:c r="G15" s="3"/>
      <x:c r="H15" s="3"/>
      <x:c r="I15" s="3"/>
    </x:row>
    <x:row r="16" ht="56" customHeight="1">
      <x:c r="A16" s="11" t="str">
        <x:v>ID</x:v>
      </x:c>
      <x:c r="B16" s="11" t="str">
        <x:v>Элемент</x:v>
      </x:c>
      <x:c r="C16" s="11" t="str">
        <x:v>Глубина, мм</x:v>
      </x:c>
      <x:c r="D16" s="11" t="str">
        <x:v>Деталей, шт.</x:v>
      </x:c>
      <x:c r="E16" s="11" t="str">
        <x:v>Длина до вычетов, м</x:v>
      </x:c>
      <x:c r="F16" s="11" t="str">
        <x:v>Коэф. вычета толщины</x:v>
      </x:c>
      <x:c r="G16" s="11" t="str">
        <x:v>Длина, м</x:v>
      </x:c>
      <x:c r="H16" s="11" t="str">
        <x:v>Нетто, м³</x:v>
      </x:c>
      <x:c r="I16" s="11" t="str">
        <x:v>С запасом, м³</x:v>
      </x:c>
    </x:row>
    <x:row r="17" ht="48" customHeight="1">
      <x:c r="A17" s="3" t="str">
        <x:v>EXT-STUD</x:v>
      </x:c>
      <x:c r="B17" s="19" t="str">
        <x:v>Наружные стены: обычные стойки и одиночные края проёмов</x:v>
      </x:c>
      <x:c r="C17" s="20" t="n">
        <x:v>200</x:v>
      </x:c>
      <x:c r="D17" s="20" t="n">
        <x:v>59</x:v>
      </x:c>
      <x:c r="E17" s="12" t="n">
        <x:v>194.69999999999965</x:v>
      </x:c>
      <x:c r="F17" s="12" t="n">
        <x:v>176.9999999999925</x:v>
      </x:c>
      <x:c r="G17" s="12" t="n">
        <x:f>E17-F17*$B$5/1000</x:f>
        <x:v>186.73499999999999</x:v>
      </x:c>
      <x:c r="H17" s="12" t="n">
        <x:f>G17*$B$5*C17/1000000</x:f>
        <x:v>1.6806149999999997</x:v>
      </x:c>
      <x:c r="I17" s="12" t="n">
        <x:f>H17*(1+$D$5)</x:f>
        <x:v>1.8486764999999998</x:v>
      </x:c>
    </x:row>
    <x:row r="18" ht="48" customHeight="1">
      <x:c r="A18" s="3" t="str">
        <x:v>EXT-PLATE</x:v>
      </x:c>
      <x:c r="B18" s="19" t="str">
        <x:v>Наружные стены: 1 нижняя и 2 верхние обвязки</x:v>
      </x:c>
      <x:c r="C18" s="20" t="n">
        <x:v>200</x:v>
      </x:c>
      <x:c r="D18" s="20"/>
      <x:c r="E18" s="12" t="n">
        <x:v>111.42000000000002</x:v>
      </x:c>
      <x:c r="F18" s="12" t="n">
        <x:v>0</x:v>
      </x:c>
      <x:c r="G18" s="12" t="n">
        <x:f>E18-F18*$B$5/1000</x:f>
        <x:v>111.42000000000002</x:v>
      </x:c>
      <x:c r="H18" s="12" t="n">
        <x:f>G18*$B$5*C18/1000000</x:f>
        <x:v>1.0027800000000002</x:v>
      </x:c>
      <x:c r="I18" s="12" t="n">
        <x:f>H18*(1+$D$5)</x:f>
        <x:v>1.1030580000000003</x:v>
      </x:c>
    </x:row>
    <x:row r="19" ht="48" customHeight="1">
      <x:c r="A19" s="3" t="str">
        <x:v>EXT-SILL</x:v>
      </x:c>
      <x:c r="B19" s="19" t="str">
        <x:v>Наружные стены: подоконные доски</x:v>
      </x:c>
      <x:c r="C19" s="20" t="n">
        <x:v>200</x:v>
      </x:c>
      <x:c r="D19" s="20"/>
      <x:c r="E19" s="12" t="n">
        <x:v>2.8</x:v>
      </x:c>
      <x:c r="F19" s="12" t="n">
        <x:v>0</x:v>
      </x:c>
      <x:c r="G19" s="12" t="n">
        <x:f>E19-F19*$B$5/1000</x:f>
        <x:v>2.8</x:v>
      </x:c>
      <x:c r="H19" s="12" t="n">
        <x:f>G19*$B$5*C19/1000000</x:f>
        <x:v>0.025199999999999997</x:v>
      </x:c>
      <x:c r="I19" s="12" t="n">
        <x:f>H19*(1+$D$5)</x:f>
        <x:v>0.027719999999999998</x:v>
      </x:c>
    </x:row>
    <x:row r="20" ht="48" customHeight="1">
      <x:c r="A20" s="3" t="str">
        <x:v>EXT-LOW</x:v>
      </x:c>
      <x:c r="B20" s="19" t="str">
        <x:v>Наружные стены: короткие стойки под окнами</x:v>
      </x:c>
      <x:c r="C20" s="20" t="n">
        <x:v>200</x:v>
      </x:c>
      <x:c r="D20" s="20" t="n">
        <x:v>5</x:v>
      </x:c>
      <x:c r="E20" s="12" t="n">
        <x:v>7.999999999999998</x:v>
      </x:c>
      <x:c r="F20" s="12" t="n">
        <x:v>9.999999999999964</x:v>
      </x:c>
      <x:c r="G20" s="12" t="n">
        <x:f>E20-F20*$B$5/1000</x:f>
        <x:v>7.55</x:v>
      </x:c>
      <x:c r="H20" s="12" t="n">
        <x:f>G20*$B$5*C20/1000000</x:f>
        <x:v>0.06795</x:v>
      </x:c>
      <x:c r="I20" s="12" t="n">
        <x:f>H20*(1+$D$5)</x:f>
        <x:v>0.074745</x:v>
      </x:c>
    </x:row>
    <x:row r="21" ht="48" customHeight="1">
      <x:c r="A21" s="3" t="str">
        <x:v>INT-STUD</x:v>
      </x:c>
      <x:c r="B21" s="19" t="str">
        <x:v>Перегородки: обычные стойки и одиночные края проёмов</x:v>
      </x:c>
      <x:c r="C21" s="20" t="n">
        <x:v>140</x:v>
      </x:c>
      <x:c r="D21" s="20" t="n">
        <x:v>54</x:v>
      </x:c>
      <x:c r="E21" s="12" t="n">
        <x:v>162.00000000000003</x:v>
      </x:c>
      <x:c r="F21" s="12" t="n">
        <x:v>162.00000000000045</x:v>
      </x:c>
      <x:c r="G21" s="12" t="n">
        <x:f>E21-F21*$B$5/1000</x:f>
        <x:v>154.71</x:v>
      </x:c>
      <x:c r="H21" s="12" t="n">
        <x:f>G21*$B$5*C21/1000000</x:f>
        <x:v>0.9746730000000001</x:v>
      </x:c>
      <x:c r="I21" s="12" t="n">
        <x:f>H21*(1+$D$5)</x:f>
        <x:v>1.0721403000000003</x:v>
      </x:c>
    </x:row>
    <x:row r="22" ht="48" customHeight="1">
      <x:c r="A22" s="3" t="str">
        <x:v>INT-PLATE</x:v>
      </x:c>
      <x:c r="B22" s="19" t="str">
        <x:v>Перегородки: 1 нижняя и 2 верхние обвязки</x:v>
      </x:c>
      <x:c r="C22" s="20" t="n">
        <x:v>140</x:v>
      </x:c>
      <x:c r="D22" s="20"/>
      <x:c r="E22" s="12" t="n">
        <x:v>68.1</x:v>
      </x:c>
      <x:c r="F22" s="12" t="n">
        <x:v>0</x:v>
      </x:c>
      <x:c r="G22" s="12" t="n">
        <x:f>E22-F22*$B$5/1000</x:f>
        <x:v>68.1</x:v>
      </x:c>
      <x:c r="H22" s="12" t="n">
        <x:f>G22*$B$5*C22/1000000</x:f>
        <x:v>0.42902999999999997</x:v>
      </x:c>
      <x:c r="I22" s="12" t="n">
        <x:f>H22*(1+$D$5)</x:f>
        <x:v>0.471933</x:v>
      </x:c>
    </x:row>
    <x:row r="23" ht="48" customHeight="1">
      <x:c r="A23" s="3" t="str">
        <x:v>GABLE-STUD</x:v>
      </x:c>
      <x:c r="B23" s="19" t="str">
        <x:v>Два фронтона: короткие вертикальные стойки</x:v>
      </x:c>
      <x:c r="C23" s="20" t="n">
        <x:v>200</x:v>
      </x:c>
      <x:c r="D23" s="20" t="n">
        <x:v>30</x:v>
      </x:c>
      <x:c r="E23" s="12" t="n">
        <x:v>26.533333333333275</x:v>
      </x:c>
      <x:c r="F23" s="12" t="n">
        <x:v>32.49999999999886</x:v>
      </x:c>
      <x:c r="G23" s="12" t="n">
        <x:f>E23-F23*$B$5/1000</x:f>
        <x:v>25.070833333333326</x:v>
      </x:c>
      <x:c r="H23" s="12" t="n">
        <x:f>G23*$B$5*C23/1000000</x:f>
        <x:v>0.2256374999999999</x:v>
      </x:c>
      <x:c r="I23" s="12" t="n">
        <x:f>H23*(1+$D$5)</x:f>
        <x:v>0.24820124999999993</x:v>
      </x:c>
    </x:row>
    <x:row r="24" ht="48" customHeight="1">
      <x:c r="A24" s="3" t="str">
        <x:v>GABLE-PLATE</x:v>
      </x:c>
      <x:c r="B24" s="19" t="str">
        <x:v>Два фронтона: один наклонный верхний ряд</x:v>
      </x:c>
      <x:c r="C24" s="20" t="n">
        <x:v>200</x:v>
      </x:c>
      <x:c r="D24" s="20"/>
      <x:c r="E24" s="12" t="n">
        <x:v>16.813333333333333</x:v>
      </x:c>
      <x:c r="F24" s="12" t="n">
        <x:v>0</x:v>
      </x:c>
      <x:c r="G24" s="12" t="n">
        <x:f>E24-F24*$B$5/1000</x:f>
        <x:v>16.813333333333333</x:v>
      </x:c>
      <x:c r="H24" s="12" t="n">
        <x:f>G24*$B$5*C24/1000000</x:f>
        <x:v>0.15131999999999998</x:v>
      </x:c>
      <x:c r="I24" s="12" t="n">
        <x:f>H24*(1+$D$5)</x:f>
        <x:v>0.166452</x:v>
      </x:c>
    </x:row>
    <x:row r="25" ht="26" customHeight="1">
      <x:c r="A25" s="3"/>
      <x:c r="B25" s="3"/>
      <x:c r="C25" s="3"/>
      <x:c r="D25" s="3"/>
      <x:c r="E25" s="3"/>
      <x:c r="F25" s="3"/>
      <x:c r="G25" s="3"/>
      <x:c r="H25" s="3"/>
      <x:c r="I25" s="3"/>
    </x:row>
    <x:row r="26" ht="26" customHeight="1">
      <x:c r="A26" s="3"/>
      <x:c r="B26" s="3"/>
      <x:c r="C26" s="3"/>
      <x:c r="D26" s="3"/>
      <x:c r="E26" s="3"/>
      <x:c r="F26" s="3"/>
      <x:c r="G26" s="3"/>
      <x:c r="H26" s="3"/>
      <x:c r="I26" s="3"/>
    </x:row>
    <x:row r="27" ht="26" customHeight="1">
      <x:c r="A27" s="21" t="str">
        <x:v>Как рассчитано</x:v>
      </x:c>
      <x:c r="B27" s="3"/>
      <x:c r="C27" s="3"/>
      <x:c r="D27" s="3"/>
      <x:c r="E27" s="3"/>
      <x:c r="F27" s="3"/>
      <x:c r="G27" s="3"/>
      <x:c r="H27" s="3"/>
      <x:c r="I27" s="3"/>
    </x:row>
    <x:row r="28" ht="26" customHeight="1">
      <x:c r="A28" s="22" t="str">
        <x:v>Толщина 45 / 50 мм меняет объём и длину стоек. Наружная глубина 200 мм и внутренняя 140 мм заданы заказчиком.</x:v>
      </x:c>
      <x:c r="B28" s="3"/>
      <x:c r="C28" s="3"/>
      <x:c r="D28" s="3"/>
      <x:c r="E28" s="3"/>
      <x:c r="F28" s="3"/>
      <x:c r="G28" s="3"/>
      <x:c r="H28" s="3"/>
      <x:c r="I28" s="3"/>
    </x:row>
    <x:row r="29" ht="26" customHeight="1">
      <x:c r="A29" s="22" t="str">
        <x:v>Шаг до 600 мм, одна нижняя и две верхние обвязки — предположения для бюджета, не конструктивный расчёт.</x:v>
      </x:c>
      <x:c r="B29" s="3"/>
      <x:c r="C29" s="3"/>
      <x:c r="D29" s="3"/>
      <x:c r="E29" s="3"/>
      <x:c r="F29" s="3"/>
      <x:c r="G29" s="3"/>
      <x:c r="H29" s="3"/>
      <x:c r="I29" s="3"/>
    </x:row>
    <x:row r="30" ht="26" customHeight="1">
      <x:c r="A30" s="22" t="str">
        <x:v>Стойки в проёмах удалены; по одному краю с каждой стороны проёма учтено. Дополнительные опорные пакеты не учтены.</x:v>
      </x:c>
      <x:c r="B30" s="3"/>
      <x:c r="C30" s="3"/>
      <x:c r="D30" s="3"/>
      <x:c r="E30" s="3"/>
      <x:c r="F30" s="3"/>
      <x:c r="G30" s="3"/>
      <x:c r="H30" s="3"/>
      <x:c r="I30" s="3"/>
    </x:row>
    <x:row r="31" ht="26" customHeight="1">
      <x:c r="A31" s="22" t="str">
        <x:v>Высота панели снаружи 3300 мм, внутри 3000 мм. Длина стойки = высота панели − три толщины обвязки.</x:v>
      </x:c>
      <x:c r="B31" s="3"/>
      <x:c r="C31" s="3"/>
      <x:c r="D31" s="3"/>
      <x:c r="E31" s="3"/>
      <x:c r="F31" s="3"/>
      <x:c r="G31" s="3"/>
      <x:c r="H31" s="3"/>
      <x:c r="I31" s="3"/>
    </x:row>
    <x:row r="32" ht="26" customHeight="1">
      <x:c r="A32" s="22" t="str">
        <x:v>Два фронтона: геометрия ската, один наклонный верхний ряд. Короткие стойки сверху перемычек пока не посчитаны.</x:v>
      </x:c>
      <x:c r="B32" s="3"/>
      <x:c r="C32" s="3"/>
      <x:c r="D32" s="3"/>
      <x:c r="E32" s="3"/>
      <x:c r="F32" s="3"/>
      <x:c r="G32" s="3"/>
      <x:c r="H32" s="3"/>
      <x:c r="I32" s="3"/>
    </x:row>
    <x:row r="33" ht="26" customHeight="1">
      <x:c r="A33" s="22" t="str">
        <x:v>При 45 мм наружная стойка 3165 мм, при 50 мм — 3150 мм. Две такие стойки из одной доски 6 м не выходят.</x:v>
      </x:c>
      <x:c r="B33" s="3"/>
      <x:c r="C33" s="3"/>
      <x:c r="D33" s="3"/>
      <x:c r="E33" s="3"/>
      <x:c r="F33" s="3"/>
      <x:c r="G33" s="3"/>
      <x:c r="H33" s="3"/>
      <x:c r="I33" s="3"/>
    </x:row>
    <x:row r="34" ht="26" customHeight="1">
      <x:c r="A34" s="22" t="str">
        <x:v>Для длинных стоек запросить 4 м либо оптимизированный заводской раскрой. Погонные метры не равны числу досок 6 м.</x:v>
      </x:c>
      <x:c r="B34" s="3"/>
      <x:c r="C34" s="3"/>
      <x:c r="D34" s="3"/>
      <x:c r="E34" s="3"/>
      <x:c r="F34" s="3"/>
      <x:c r="G34" s="3"/>
      <x:c r="H34" s="3"/>
      <x:c r="I34" s="3"/>
    </x:row>
    <x:row r="35" ht="26" customHeight="1">
      <x:c r="A35" s="22" t="str">
        <x:v>Требуется пиломатериал камерной сушки с подтверждёнными фактическими размерами, сортировкой и влажностью.</x:v>
      </x:c>
      <x:c r="B35" s="3"/>
      <x:c r="C35" s="3"/>
      <x:c r="D35" s="3"/>
      <x:c r="E35" s="3"/>
      <x:c r="F35" s="3"/>
      <x:c r="G35" s="3"/>
      <x:c r="H35" s="3"/>
      <x:c r="I35" s="3"/>
    </x:row>
    <x:row r="36" ht="26" customHeight="1">
      <x:c r="A36" s="22" t="str">
        <x:v>Класс прочности, допустимую влажность при монтаже, породу и защитную обработку назначают в рабочей спецификации.</x:v>
      </x:c>
      <x:c r="B36" s="3"/>
      <x:c r="C36" s="3"/>
      <x:c r="D36" s="3"/>
      <x:c r="E36" s="3"/>
      <x:c r="F36" s="3"/>
      <x:c r="G36" s="3"/>
      <x:c r="H36" s="3"/>
      <x:c r="I36" s="3"/>
    </x:row>
    <x:row r="37" ht="26" customHeight="1">
      <x:c r="A37" s="22" t="str">
        <x:v>Сушка не заменяет расчёт прочности. Термомодифицированная отделочная древесина не принята как несущий материал.</x:v>
      </x:c>
      <x:c r="B37" s="3"/>
      <x:c r="C37" s="3"/>
      <x:c r="D37" s="3"/>
      <x:c r="E37" s="3"/>
      <x:c r="F37" s="3"/>
      <x:c r="G37" s="3"/>
      <x:c r="H37" s="3"/>
      <x:c r="I37" s="3"/>
    </x:row>
    <x:row r="38" ht="26" customHeight="1">
      <x:c r="A38" s="22" t="str">
        <x:v>Прочие элементы и недостающие данные перечислены на листе «Комплектность». Пустое количество не означает ноль.</x:v>
      </x:c>
      <x:c r="B38" s="3"/>
      <x:c r="C38" s="3"/>
      <x:c r="D38" s="3"/>
      <x:c r="E38" s="3"/>
      <x:c r="F38" s="3"/>
      <x:c r="G38" s="3"/>
      <x:c r="H38" s="3"/>
      <x:c r="I38" s="3"/>
    </x:row>
    <x:row r="39" ht="26" customHeight="1">
      <x:c r="A39" s="22"/>
      <x:c r="B39" s="3"/>
      <x:c r="C39" s="3"/>
      <x:c r="D39" s="3"/>
      <x:c r="E39" s="3"/>
      <x:c r="F39" s="3"/>
      <x:c r="G39" s="3"/>
      <x:c r="H39" s="3"/>
      <x:c r="I39" s="3"/>
    </x:row>
    <x:row r="40" ht="26" customHeight="1">
      <x:c r="A40" s="22"/>
      <x:c r="B40" s="3"/>
      <x:c r="C40" s="3"/>
      <x:c r="D40" s="3"/>
      <x:c r="E40" s="3"/>
      <x:c r="F40" s="3"/>
      <x:c r="G40" s="3"/>
      <x:c r="H40" s="3"/>
      <x:c r="I40" s="3"/>
    </x:row>
    <x:row r="41" ht="26" customHeight="1">
      <x:c r="A41" s="23" t="str">
        <x:v>Источники</x:v>
      </x:c>
      <x:c r="B41" s="3"/>
      <x:c r="C41" s="3"/>
      <x:c r="D41" s="3"/>
      <x:c r="E41" s="3"/>
      <x:c r="F41" s="3"/>
      <x:c r="G41" s="3"/>
      <x:c r="H41" s="3"/>
      <x:c r="I41" s="3"/>
    </x:row>
    <x:row r="42" ht="26" customHeight="1">
      <x:c r="A42" s="22" t="str">
        <x:v>G1: architecture-P81.json (QTO-TIMBER-2026-09-15-R1)</x:v>
      </x:c>
      <x:c r="B42" s="3"/>
      <x:c r="C42" s="3"/>
      <x:c r="D42" s="3"/>
      <x:c r="E42" s="3"/>
      <x:c r="F42" s="3"/>
      <x:c r="G42" s="3"/>
      <x:c r="H42" s="3"/>
      <x:c r="I42" s="3"/>
    </x:row>
    <x:row r="43" ht="26" customHeight="1">
      <x:c r="A43" s="22" t="str">
        <x:v>SHA-256 8d42d7f5e001671ede53108e4d4fa6238470ee0bf66893007bda98100c66a334</x:v>
      </x:c>
      <x:c r="B43" s="3"/>
      <x:c r="C43" s="3"/>
      <x:c r="D43" s="3"/>
      <x:c r="E43" s="3"/>
      <x:c r="F43" s="3"/>
      <x:c r="G43" s="3"/>
      <x:c r="H43" s="3"/>
      <x:c r="I43" s="3"/>
    </x:row>
    <x:row r="44" ht="26" customHeight="1">
      <x:c r="A44" s="22" t="str">
        <x:v>F1: summary-values.json (QTO-TIMBER-2026-09-15-R1)</x:v>
      </x:c>
      <x:c r="B44" s="3"/>
      <x:c r="C44" s="3"/>
      <x:c r="D44" s="3"/>
      <x:c r="E44" s="3"/>
      <x:c r="F44" s="3"/>
      <x:c r="G44" s="3"/>
      <x:c r="H44" s="3"/>
      <x:c r="I44" s="3"/>
    </x:row>
    <x:row r="45" ht="26" customHeight="1">
      <x:c r="A45" s="22" t="str">
        <x:v>SHA-256 4f90a5889e441e089603140f704af92c81d3b7901dc09de27c721bc94cc74704</x:v>
      </x:c>
      <x:c r="B45" s="3"/>
      <x:c r="C45" s="3"/>
      <x:c r="D45" s="3"/>
      <x:c r="E45" s="3"/>
      <x:c r="F45" s="3"/>
      <x:c r="G45" s="3"/>
      <x:c r="H45" s="3"/>
      <x:c r="I45" s="3"/>
    </x:row>
    <x:row r="46" ht="26" customHeight="1">
      <x:c r="A46" s="22" t="str">
        <x:v>R1: rainwater.json (QTO-TIMBER-2026-09-15-R1)</x:v>
      </x:c>
      <x:c r="B46" s="3"/>
      <x:c r="C46" s="3"/>
      <x:c r="D46" s="3"/>
      <x:c r="E46" s="3"/>
      <x:c r="F46" s="3"/>
      <x:c r="G46" s="3"/>
      <x:c r="H46" s="3"/>
      <x:c r="I46" s="3"/>
    </x:row>
    <x:row r="47" ht="26" customHeight="1">
      <x:c r="A47" s="22" t="str">
        <x:v>SHA-256 823b033926955067a2f94f01b813c700887c526bd94cef022306a3a10567c4db</x:v>
      </x:c>
      <x:c r="B47" s="3"/>
      <x:c r="C47" s="3"/>
      <x:c r="D47" s="3"/>
      <x:c r="E47" s="3"/>
      <x:c r="F47" s="3"/>
      <x:c r="G47" s="3"/>
      <x:c r="H47" s="3"/>
      <x:c r="I47" s="3"/>
    </x:row>
    <x:row r="48" ht="26" customHeight="1">
      <x:c r="A48" s="22" t="str">
        <x:v>Материал: Swedish Wood, Wood grades — https://www.swedishwood.com/wood-facts/about-wood/wood-grades/</x:v>
      </x:c>
      <x:c r="B48" s="3"/>
      <x:c r="C48" s="3"/>
      <x:c r="D48" s="3"/>
      <x:c r="E48" s="3"/>
      <x:c r="F48" s="3"/>
      <x:c r="G48" s="3"/>
      <x:c r="H48" s="3"/>
      <x:c r="I48" s="3"/>
    </x:row>
    <x:row r="49" ht="26" customHeight="1">
      <x:c r="A49" s="3"/>
      <x:c r="B49" s="3"/>
      <x:c r="C49" s="3"/>
      <x:c r="D49" s="3"/>
      <x:c r="E49" s="3"/>
      <x:c r="F49" s="3"/>
      <x:c r="G49" s="3"/>
      <x:c r="H49" s="3"/>
      <x:c r="I49" s="3"/>
    </x:row>
  </x:sheetData>
  <x:dataValidations count="1">
    <x:dataValidation type="list" sqref="B5">
      <x:formula1>"45,50"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8" hidden="0" customWidth="1"/>
    <x:col min="2" max="2" width="20" hidden="0" customWidth="1"/>
    <x:col min="3" max="3" width="47" hidden="0" customWidth="1"/>
    <x:col min="4" max="4" width="16" hidden="0" customWidth="1"/>
    <x:col min="5" max="5" width="12" hidden="0" customWidth="1"/>
    <x:col min="6" max="6" width="66" hidden="0" customWidth="1"/>
    <x:col min="7" max="7" width="79" hidden="0" customWidth="1"/>
  </x:cols>
  <x:sheetData>
    <x:row r="1" ht="26" customHeight="1">
      <x:c r="A1" s="3"/>
      <x:c r="B1" s="3"/>
      <x:c r="C1" s="3"/>
      <x:c r="D1" s="3"/>
      <x:c r="E1" s="3"/>
      <x:c r="F1" s="3"/>
      <x:c r="G1" s="3"/>
    </x:row>
    <x:row r="2" ht="26" customHeight="1">
      <x:c r="A2" s="4" t="str">
        <x:v>Комплектность материалов постройки</x:v>
      </x:c>
      <x:c r="B2" s="3"/>
      <x:c r="C2" s="3"/>
      <x:c r="D2" s="3"/>
      <x:c r="E2" s="3"/>
      <x:c r="F2" s="3"/>
      <x:c r="G2" s="3"/>
    </x:row>
    <x:row r="3" ht="26" customHeight="1">
      <x:c r="A3" s="3" t="str">
        <x:v>Количество в м / м² — геометрия для запроса. Без назначенного сечения перевод в м³ невозможен.</x:v>
      </x:c>
      <x:c r="B3" s="3"/>
      <x:c r="C3" s="3"/>
      <x:c r="D3" s="3"/>
      <x:c r="E3" s="3"/>
      <x:c r="F3" s="3"/>
      <x:c r="G3" s="3"/>
    </x:row>
    <x:row r="4" ht="26" customHeight="1">
      <x:c r="A4" s="3"/>
      <x:c r="B4" s="3"/>
      <x:c r="C4" s="3"/>
      <x:c r="D4" s="3"/>
      <x:c r="E4" s="3"/>
      <x:c r="F4" s="3"/>
      <x:c r="G4" s="3"/>
    </x:row>
    <x:row r="5" ht="36" customHeight="1">
      <x:c r="A5" s="11" t="str">
        <x:v>ID</x:v>
      </x:c>
      <x:c r="B5" s="11" t="str">
        <x:v>Раздел</x:v>
      </x:c>
      <x:c r="C5" s="11" t="str">
        <x:v>Материал / элемент</x:v>
      </x:c>
      <x:c r="D5" s="11" t="str">
        <x:v>Количество</x:v>
      </x:c>
      <x:c r="E5" s="11" t="str">
        <x:v>Единица</x:v>
      </x:c>
      <x:c r="F5" s="11" t="str">
        <x:v>Основание количества</x:v>
      </x:c>
      <x:c r="G5" s="11" t="str">
        <x:v>Недостающие данные</x:v>
      </x:c>
    </x:row>
    <x:row r="6" ht="65" customHeight="1">
      <x:c r="A6" s="3" t="str">
        <x:v>FND</x:v>
      </x:c>
      <x:c r="B6" s="3" t="str">
        <x:v>Основание</x:v>
      </x:c>
      <x:c r="C6" s="19" t="str">
        <x:v>Фундамент дома, навеса и террас</x:v>
      </x:c>
      <x:c r="D6" s="24"/>
      <x:c r="E6" s="19" t="str">
        <x:v>м³</x:v>
      </x:c>
      <x:c r="F6" s="19" t="str">
        <x:v>Контур дома 94.3296 м²</x:v>
      </x:c>
      <x:c r="G6" s="19" t="str">
        <x:v>Тип, грунты, реакции, бетон, армирование и земляные работы</x:v>
      </x:c>
    </x:row>
    <x:row r="7" ht="65" customHeight="1">
      <x:c r="A7" s="3" t="str">
        <x:v>FLR</x:v>
      </x:c>
      <x:c r="B7" s="3" t="str">
        <x:v>Основание</x:v>
      </x:c>
      <x:c r="C7" s="19" t="str">
        <x:v>Перекрытие / плита пола дома и лаунджа</x:v>
      </x:c>
      <x:c r="D7" s="24"/>
      <x:c r="E7" s="19" t="str">
        <x:v>компл.</x:v>
      </x:c>
      <x:c r="F7" s="19" t="str">
        <x:v>Площадь отделки не равна площади несущего настила</x:v>
      </x:c>
      <x:c r="G7" s="19" t="str">
        <x:v>Не выбран тип основания; лаги нельзя автоматически считать нулевыми</x:v>
      </x:c>
    </x:row>
    <x:row r="8" ht="65" customHeight="1">
      <x:c r="A8" s="3" t="str">
        <x:v>FND-CAP</x:v>
      </x:c>
      <x:c r="B8" s="3" t="str">
        <x:v>Основание</x:v>
      </x:c>
      <x:c r="C8" s="19" t="str">
        <x:v>Отсечная гидроизоляция под нижней обвязкой</x:v>
      </x:c>
      <x:c r="D8" s="24" t="n">
        <x:v>37.84</x:v>
      </x:c>
      <x:c r="E8" s="19" t="str">
        <x:v>м</x:v>
      </x:c>
      <x:c r="F8" s="19" t="str">
        <x:v>Только наружный периметр по оси</x:v>
      </x:c>
      <x:c r="G8" s="19" t="str">
        <x:v>Ширина, система, нахлёсты и внутренние несущие линии</x:v>
      </x:c>
    </x:row>
    <x:row r="9" ht="65" customHeight="1">
      <x:c r="A9" s="3" t="str">
        <x:v>W-BASE</x:v>
      </x:c>
      <x:c r="B9" s="3" t="str">
        <x:v>Стены</x:v>
      </x:c>
      <x:c r="C9" s="19" t="str">
        <x:v>Базовые стойки и обвязки стен с фронтонами</x:v>
      </x:c>
      <x:c r="D9" s="24"/>
      <x:c r="E9" s="19" t="str">
        <x:v>м³</x:v>
      </x:c>
      <x:c r="F9" s="19" t="str">
        <x:v>Сценарии 45 и 50 мм в отдельной таблице</x:v>
      </x:c>
      <x:c r="G9" s="19" t="str">
        <x:v>Это частичный объём. Усиления и соединения отсутствуют</x:v>
      </x:c>
    </x:row>
    <x:row r="10" ht="65" customHeight="1">
      <x:c r="A10" s="3" t="str">
        <x:v>W-HEADER</x:v>
      </x:c>
      <x:c r="B10" s="3" t="str">
        <x:v>Стены</x:v>
      </x:c>
      <x:c r="C10" s="19" t="str">
        <x:v>Перемычки над 8 наружными проёмами</x:v>
      </x:c>
      <x:c r="D10" s="24" t="n">
        <x:v>8</x:v>
      </x:c>
      <x:c r="E10" s="19" t="str">
        <x:v>шт.</x:v>
      </x:c>
      <x:c r="F10" s="19" t="str">
        <x:v>По opening_schedule; длины пролётов на отдельном листе</x:v>
      </x:c>
      <x:c r="G10" s="19" t="str">
        <x:v>Сечения, длина опирания, количество досок, LVL/клеёный брус/сталь</x:v>
      </x:c>
    </x:row>
    <x:row r="11" ht="65" customHeight="1">
      <x:c r="A11" s="3" t="str">
        <x:v>W-IHEAD</x:v>
      </x:c>
      <x:c r="B11" s="3" t="str">
        <x:v>Стены</x:v>
      </x:c>
      <x:c r="C11" s="19" t="str">
        <x:v>Перемычки над 4 дверями и OC01</x:v>
      </x:c>
      <x:c r="D11" s="24" t="n">
        <x:v>5</x:v>
      </x:c>
      <x:c r="E11" s="19" t="str">
        <x:v>шт.</x:v>
      </x:c>
      <x:c r="F11" s="19" t="str">
        <x:v>D03–D06 и открытая связь OC01</x:v>
      </x:c>
      <x:c r="G11" s="19" t="str">
        <x:v>Несущая роль стен и решения перемычек</x:v>
      </x:c>
    </x:row>
    <x:row r="12" ht="65" customHeight="1">
      <x:c r="A12" s="3" t="str">
        <x:v>W-POST</x:v>
      </x:c>
      <x:c r="B12" s="3" t="str">
        <x:v>Стены</x:v>
      </x:c>
      <x:c r="C12" s="19" t="str">
        <x:v>Пакеты стоек, углы, Т-стыки и закладные</x:v>
      </x:c>
      <x:c r="D12" s="24"/>
      <x:c r="E12" s="19" t="str">
        <x:v>м³</x:v>
      </x:c>
      <x:c r="F12" s="19" t="str">
        <x:v>Одиночные крайние стойки уже в базовой таблице</x:v>
      </x:c>
      <x:c r="G12" s="19" t="str">
        <x:v>Число дополнительных досок и схема узлов</x:v>
      </x:c>
    </x:row>
    <x:row r="13" ht="65" customHeight="1">
      <x:c r="A13" s="3" t="str">
        <x:v>W-BRACE</x:v>
      </x:c>
      <x:c r="B13" s="3" t="str">
        <x:v>Стены</x:v>
      </x:c>
      <x:c r="C13" s="19" t="str">
        <x:v>Пространственные связи и силовая обшивка</x:v>
      </x:c>
      <x:c r="D13" s="24"/>
      <x:c r="E13" s="19" t="str">
        <x:v>компл.</x:v>
      </x:c>
      <x:c r="F13" s="19" t="str">
        <x:v>Плоскости стен даны в отделочной ведомости</x:v>
      </x:c>
      <x:c r="G13" s="19" t="str">
        <x:v>OSB/фанера/раскосы, толщина, раскладка и крепёж; БЕЛТЕРМО не засчитывается как расчёт связей</x:v>
      </x:c>
    </x:row>
    <x:row r="14" ht="65" customHeight="1">
      <x:c r="A14" s="3" t="str">
        <x:v>W-HIGH</x:v>
      </x:c>
      <x:c r="B14" s="3" t="str">
        <x:v>Стены</x:v>
      </x:c>
      <x:c r="C14" s="19" t="str">
        <x:v>Подъём внутренних стен к скатам</x:v>
      </x:c>
      <x:c r="D14" s="24"/>
      <x:c r="E14" s="19" t="str">
        <x:v>м³</x:v>
      </x:c>
      <x:c r="F14" s="19" t="str">
        <x:v>Перегородки посчитаны только до 3.0 м</x:v>
      </x:c>
      <x:c r="G14" s="19" t="str">
        <x:v>Продолжение выше потолка, противопожарные и звуковые отсечки</x:v>
      </x:c>
    </x:row>
    <x:row r="15" ht="65" customHeight="1">
      <x:c r="A15" s="3" t="str">
        <x:v>R-MEMBER</x:v>
      </x:c>
      <x:c r="B15" s="3" t="str">
        <x:v>Основная крыша</x:v>
      </x:c>
      <x:c r="C15" s="19" t="str">
        <x:v>Стропила: только геометрическая длина</x:v>
      </x:c>
      <x:c r="D15" s="24" t="n">
        <x:v>221</x:v>
      </x:c>
      <x:c r="E15" s="19" t="str">
        <x:v>м</x:v>
      </x:c>
      <x:c r="F15" s="19" t="str">
        <x:v>25 пар × 2 × 4.420 м, оси не более 600 мм — сценарий</x:v>
      </x:c>
      <x:c r="G15" s="19" t="str">
        <x:v>Система стропил, реальные свесы, опоры, сечения и врубки</x:v>
      </x:c>
    </x:row>
    <x:row r="16" ht="65" customHeight="1">
      <x:c r="A16" s="3" t="str">
        <x:v>R-RIDGE</x:v>
      </x:c>
      <x:c r="B16" s="3" t="str">
        <x:v>Основная крыша</x:v>
      </x:c>
      <x:c r="C16" s="19" t="str">
        <x:v>Коньковая линия</x:v>
      </x:c>
      <x:c r="D16" s="24" t="n">
        <x:v>14.06</x:v>
      </x:c>
      <x:c r="E16" s="19" t="str">
        <x:v>м</x:v>
      </x:c>
      <x:c r="F16" s="19" t="str">
        <x:v>Геометрическая длина</x:v>
      </x:c>
      <x:c r="G16" s="19" t="str">
        <x:v>Тип: несущий прогон, коньковая доска или фермы; стыки, опоры и сечения</x:v>
      </x:c>
    </x:row>
    <x:row r="17" ht="65" customHeight="1">
      <x:c r="A17" s="3" t="str">
        <x:v>R-TIE</x:v>
      </x:c>
      <x:c r="B17" s="3" t="str">
        <x:v>Основная крыша</x:v>
      </x:c>
      <x:c r="C17" s="19" t="str">
        <x:v>Затяжки, прогоны, подкосы и связи</x:v>
      </x:c>
      <x:c r="D17" s="24"/>
      <x:c r="E17" s="19" t="str">
        <x:v>м³</x:v>
      </x:c>
      <x:c r="F17" s="19" t="str">
        <x:v>Высокая гостиная, часть потолка плоская</x:v>
      </x:c>
      <x:c r="G17" s="19" t="str">
        <x:v>Расчётная схема, распор, прогиб и узлы</x:v>
      </x:c>
    </x:row>
    <x:row r="18" ht="65" customHeight="1">
      <x:c r="A18" s="3" t="str">
        <x:v>R-OVER</x:v>
      </x:c>
      <x:c r="B18" s="3" t="str">
        <x:v>Основная крыша</x:v>
      </x:c>
      <x:c r="C18" s="19" t="str">
        <x:v>Западный вынос 2500 мм и щековая стена</x:v>
      </x:c>
      <x:c r="D18" s="24"/>
      <x:c r="E18" s="19" t="str">
        <x:v>компл.</x:v>
      </x:c>
      <x:c r="F18" s="19" t="str">
        <x:v>Графический вынос над террасой</x:v>
      </x:c>
      <x:c r="G18" s="19" t="str">
        <x:v>Самостоятельная несущая схема и фундаментные реакции</x:v>
      </x:c>
    </x:row>
    <x:row r="19" ht="65" customHeight="1">
      <x:c r="A19" s="3" t="str">
        <x:v>R-SKIN</x:v>
      </x:c>
      <x:c r="B19" s="3" t="str">
        <x:v>Основная крыша</x:v>
      </x:c>
      <x:c r="C19" s="19" t="str">
        <x:v>Фальцевое покрытие</x:v>
      </x:c>
      <x:c r="D19" s="24" t="n">
        <x:v>124.2904</x:v>
      </x:c>
      <x:c r="E19" s="19" t="str">
        <x:v>м²</x:v>
      </x:c>
      <x:c r="F19" s="19" t="str">
        <x:v>Два ската по наклонной поверхности</x:v>
      </x:c>
      <x:c r="G19" s="19" t="str">
        <x:v>Фальц, рабочая ширина, картины, подрезки и комплектующие</x:v>
      </x:c>
    </x:row>
    <x:row r="20" ht="65" customHeight="1">
      <x:c r="A20" s="3" t="str">
        <x:v>R-UNDER</x:v>
      </x:c>
      <x:c r="B20" s="3" t="str">
        <x:v>Основная крыша</x:v>
      </x:c>
      <x:c r="C20" s="19" t="str">
        <x:v>Подкровельный слой</x:v>
      </x:c>
      <x:c r="D20" s="24" t="n">
        <x:v>124.2904</x:v>
      </x:c>
      <x:c r="E20" s="19" t="str">
        <x:v>м²</x:v>
      </x:c>
      <x:c r="F20" s="19" t="str">
        <x:v>Площадь без нахлёстов и заходов</x:v>
      </x:c>
      <x:c r="G20" s="19" t="str">
        <x:v>Тип и совместимость с выбранной кровлей</x:v>
      </x:c>
    </x:row>
    <x:row r="21" ht="65" customHeight="1">
      <x:c r="A21" s="3" t="str">
        <x:v>R-DECK</x:v>
      </x:c>
      <x:c r="B21" s="3" t="str">
        <x:v>Основная крыша</x:v>
      </x:c>
      <x:c r="C21" s="19" t="str">
        <x:v>Настил, обрешётка и контробрешётка</x:v>
      </x:c>
      <x:c r="D21" s="24"/>
      <x:c r="E21" s="19" t="str">
        <x:v>м³</x:v>
      </x:c>
      <x:c r="F21" s="19" t="str">
        <x:v>Наклонная площадь 124.2904 м²</x:v>
      </x:c>
      <x:c r="G21" s="19" t="str">
        <x:v>Доска/лист, сечение, шаг, число слоёв и зазоры</x:v>
      </x:c>
    </x:row>
    <x:row r="22" ht="65" customHeight="1">
      <x:c r="A22" s="3" t="str">
        <x:v>C-MEMBER</x:v>
      </x:c>
      <x:c r="B22" s="3" t="str">
        <x:v>Навес</x:v>
      </x:c>
      <x:c r="C22" s="19" t="str">
        <x:v>Балки навеса: только геометрическая длина</x:v>
      </x:c>
      <x:c r="D22" s="24" t="n">
        <x:v>127.42547745250945</x:v>
      </x:c>
      <x:c r="E22" s="19" t="str">
        <x:v>м</x:v>
      </x:c>
      <x:c r="F22" s="19" t="str">
        <x:v>26 осей × 4.9010 м, шаг до 600 мм — сценарий</x:v>
      </x:c>
      <x:c r="G22" s="19" t="str">
        <x:v>Пролёты, промежуточные опоры, сечения, прогиб и стыки</x:v>
      </x:c>
    </x:row>
    <x:row r="23" ht="65" customHeight="1">
      <x:c r="A23" s="3" t="str">
        <x:v>C-POST</x:v>
      </x:c>
      <x:c r="B23" s="3" t="str">
        <x:v>Навес</x:v>
      </x:c>
      <x:c r="C23" s="19" t="str">
        <x:v>Опорные балки, стойки и соединения</x:v>
      </x:c>
      <x:c r="D23" s="24"/>
      <x:c r="E23" s="19" t="str">
        <x:v>м³</x:v>
      </x:c>
      <x:c r="F23" s="19" t="str">
        <x:v>Граница навеса 14.66 × 4.90 м</x:v>
      </x:c>
      <x:c r="G23" s="19" t="str">
        <x:v>Сетка опор не задана; остекление не принято несущим</x:v>
      </x:c>
    </x:row>
    <x:row r="24" ht="65" customHeight="1">
      <x:c r="A24" s="3" t="str">
        <x:v>C-SKIN</x:v>
      </x:c>
      <x:c r="B24" s="3" t="str">
        <x:v>Навес</x:v>
      </x:c>
      <x:c r="C24" s="19" t="str">
        <x:v>Мембранное покрытие навеса</x:v>
      </x:c>
      <x:c r="D24" s="24" t="n">
        <x:v>71.84836536360726</x:v>
      </x:c>
      <x:c r="E24" s="19" t="str">
        <x:v>м²</x:v>
      </x:c>
      <x:c r="F24" s="19" t="str">
        <x:v>Наклон 2% наружу: перепад 98 мм — сценарий</x:v>
      </x:c>
      <x:c r="G24" s="19" t="str">
        <x:v>Система мембраны, нахлёсты, заведения и аварийные переливы</x:v>
      </x:c>
    </x:row>
    <x:row r="25" ht="65" customHeight="1">
      <x:c r="A25" s="3" t="str">
        <x:v>C-DECK</x:v>
      </x:c>
      <x:c r="B25" s="3" t="str">
        <x:v>Навес</x:v>
      </x:c>
      <x:c r="C25" s="19" t="str">
        <x:v>Жёсткий настил навеса</x:v>
      </x:c>
      <x:c r="D25" s="24" t="n">
        <x:v>71.84836536360726</x:v>
      </x:c>
      <x:c r="E25" s="19" t="str">
        <x:v>м²</x:v>
      </x:c>
      <x:c r="F25" s="19" t="str">
        <x:v>Один геометрический слой</x:v>
      </x:c>
      <x:c r="G25" s="19" t="str">
        <x:v>Материал, толщина, число слоёв, раскладка и нагрузка</x:v>
      </x:c>
    </x:row>
    <x:row r="26" ht="65" customHeight="1">
      <x:c r="A26" s="3" t="str">
        <x:v>C-WALL</x:v>
      </x:c>
      <x:c r="B26" s="3" t="str">
        <x:v>Навес</x:v>
      </x:c>
      <x:c r="C26" s="19" t="str">
        <x:v>Глухая торцевая стена лаунджа</x:v>
      </x:c>
      <x:c r="D26" s="24" t="n">
        <x:v>4.9</x:v>
      </x:c>
      <x:c r="E26" s="19" t="str">
        <x:v>м</x:v>
      </x:c>
      <x:c r="F26" s="19" t="str">
        <x:v>Длина стены</x:v>
      </x:c>
      <x:c r="G26" s="19" t="str">
        <x:v>Толщина каркаса, высота по рабочему узлу и несущая функция</x:v>
      </x:c>
    </x:row>
    <x:row r="27" ht="65" customHeight="1">
      <x:c r="A27" s="3" t="str">
        <x:v>CLG</x:v>
      </x:c>
      <x:c r="B27" s="3" t="str">
        <x:v>Потолки</x:v>
      </x:c>
      <x:c r="C27" s="19" t="str">
        <x:v>Балки плоских потолков и видимые балки</x:v>
      </x:c>
      <x:c r="D27" s="24"/>
      <x:c r="E27" s="19" t="str">
        <x:v>м³</x:v>
      </x:c>
      <x:c r="F27" s="19" t="str">
        <x:v>Часть гостиной раскрыта до скатов</x:v>
      </x:c>
      <x:c r="G27" s="19" t="str">
        <x:v>Видимые 140×100 мм не являются полным сечением</x:v>
      </x:c>
    </x:row>
    <x:row r="28" ht="65" customHeight="1">
      <x:c r="A28" s="3" t="str">
        <x:v>DECK-JOIST</x:v>
      </x:c>
      <x:c r="B28" s="3" t="str">
        <x:v>Террасы</x:v>
      </x:c>
      <x:c r="C28" s="19" t="str">
        <x:v>Лаги, обвязки и опоры террас</x:v>
      </x:c>
      <x:c r="D28" s="24" t="n">
        <x:v>59.774</x:v>
      </x:c>
      <x:c r="E28" s="19" t="str">
        <x:v>м²</x:v>
      </x:c>
      <x:c r="F28" s="19" t="str">
        <x:v>Площадь будущего деревянного настила</x:v>
      </x:c>
      <x:c r="G28" s="19" t="str">
        <x:v>Это площадь обслуживания, не объём лаг; шаг, пролёты, сечения и основания</x:v>
      </x:c>
    </x:row>
    <x:row r="29" ht="65" customHeight="1">
      <x:c r="A29" s="3" t="str">
        <x:v>LNG-FLR</x:v>
      </x:c>
      <x:c r="B29" s="3" t="str">
        <x:v>Террасы</x:v>
      </x:c>
      <x:c r="C29" s="19" t="str">
        <x:v>Основание плитки остеклённого лаунджа</x:v>
      </x:c>
      <x:c r="D29" s="24" t="n">
        <x:v>41.16</x:v>
      </x:c>
      <x:c r="E29" s="19" t="str">
        <x:v>м²</x:v>
      </x:c>
      <x:c r="F29" s="19" t="str">
        <x:v>Граница лаунджа</x:v>
      </x:c>
      <x:c r="G29" s="19" t="str">
        <x:v>Жёсткость основания, влага, зимний режим и узлы примыканий</x:v>
      </x:c>
    </x:row>
    <x:row r="30" ht="65" customHeight="1">
      <x:c r="A30" s="3" t="str">
        <x:v>THERM-ROOF</x:v>
      </x:c>
      <x:c r="B30" s="3" t="str">
        <x:v>Утепление</x:v>
      </x:c>
      <x:c r="C30" s="19" t="str">
        <x:v>Утепление потолков / скатов</x:v>
      </x:c>
      <x:c r="D30" s="24"/>
      <x:c r="E30" s="19" t="str">
        <x:v>м³</x:v>
      </x:c>
      <x:c r="F30" s="19" t="str">
        <x:v>Не дублируется с эковатой стен</x:v>
      </x:c>
      <x:c r="G30" s="19" t="str">
        <x:v>Граница тёплого контура, толщина, технология и плотность</x:v>
      </x:c>
    </x:row>
    <x:row r="31" ht="65" customHeight="1">
      <x:c r="A31" s="3" t="str">
        <x:v>THERM-FLR</x:v>
      </x:c>
      <x:c r="B31" s="3" t="str">
        <x:v>Утепление</x:v>
      </x:c>
      <x:c r="C31" s="19" t="str">
        <x:v>Теплоизоляция пола и цоколя</x:v>
      </x:c>
      <x:c r="D31" s="24"/>
      <x:c r="E31" s="19" t="str">
        <x:v>м³</x:v>
      </x:c>
      <x:c r="F31" s="19" t="str">
        <x:v>По будущему решению фундамента</x:v>
      </x:c>
      <x:c r="G31" s="19" t="str">
        <x:v>Толщина и материал не выбраны</x:v>
      </x:c>
    </x:row>
    <x:row r="32" ht="65" customHeight="1">
      <x:c r="A32" s="3" t="str">
        <x:v>MEM-ROOF</x:v>
      </x:c>
      <x:c r="B32" s="3" t="str">
        <x:v>Утепление</x:v>
      </x:c>
      <x:c r="C32" s="19" t="str">
        <x:v>Воздухоплотность крыши, ленты и проходки</x:v>
      </x:c>
      <x:c r="D32" s="24"/>
      <x:c r="E32" s="19" t="str">
        <x:v>компл.</x:v>
      </x:c>
      <x:c r="F32" s="19" t="str">
        <x:v>Тёплый контур ещё не задан</x:v>
      </x:c>
      <x:c r="G32" s="19" t="str">
        <x:v>Площади, Sd, стыки с БЕЛТЕРМО и дымоходом</x:v>
      </x:c>
    </x:row>
    <x:row r="33" ht="65" customHeight="1">
      <x:c r="A33" s="3" t="str">
        <x:v>RAIN-GUT</x:v>
      </x:c>
      <x:c r="B33" s="3" t="str">
        <x:v>Водосток</x:v>
      </x:c>
      <x:c r="C33" s="19" t="str">
        <x:v>Скрытые желоба, две линии дома и край навеса</x:v>
      </x:c>
      <x:c r="D33" s="24" t="n">
        <x:v>42.78</x:v>
      </x:c>
      <x:c r="E33" s="19" t="str">
        <x:v>м</x:v>
      </x:c>
      <x:c r="F33" s="19" t="str">
        <x:v>2 × 14.06 + 14.66; до углов и воронок</x:v>
      </x:c>
      <x:c r="G33" s="19" t="str">
        <x:v>Сечение желобов, фактическая трасса, уклоны и аварийный перелив</x:v>
      </x:c>
    </x:row>
    <x:row r="34" ht="65" customHeight="1">
      <x:c r="A34" s="3" t="str">
        <x:v>RAIN-OUT</x:v>
      </x:c>
      <x:c r="B34" s="3" t="str">
        <x:v>Водосток</x:v>
      </x:c>
      <x:c r="C34" s="19" t="str">
        <x:v>Основные водоприёмные точки</x:v>
      </x:c>
      <x:c r="D34" s="24" t="n">
        <x:v>6</x:v>
      </x:c>
      <x:c r="E34" s="19" t="str">
        <x:v>шт.</x:v>
      </x:c>
      <x:c r="F34" s="19" t="str">
        <x:v>Предложенная схема сайта</x:v>
      </x:c>
      <x:c r="G34" s="19" t="str">
        <x:v>Пропускная способность и независимые аварийные переливы</x:v>
      </x:c>
    </x:row>
    <x:row r="35" ht="65" customHeight="1">
      <x:c r="A35" s="3" t="str">
        <x:v>RAIN-PIPE</x:v>
      </x:c>
      <x:c r="B35" s="3" t="str">
        <x:v>Водосток</x:v>
      </x:c>
      <x:c r="C35" s="19" t="str">
        <x:v>Стояки, ливневая сеть, ёмкость и выпуск</x:v>
      </x:c>
      <x:c r="D35" s="24"/>
      <x:c r="E35" s="19" t="str">
        <x:v>компл.</x:v>
      </x:c>
      <x:c r="F35" s="19" t="str">
        <x:v>На участке, без подтверждённой внешней точки сброса</x:v>
      </x:c>
      <x:c r="G35" s="19" t="str">
        <x:v>Расход дождя, грунты, отметки, длины, диаметры и объём ёмкости</x:v>
      </x:c>
    </x:row>
    <x:row r="36" ht="65" customHeight="1">
      <x:c r="A36" s="3" t="str">
        <x:v>FIX</x:v>
      </x:c>
      <x:c r="B36" s="3" t="str">
        <x:v>Крепёж</x:v>
      </x:c>
      <x:c r="C36" s="19" t="str">
        <x:v>Гвозди, шурупы, анкеры, пластины и hold-down</x:v>
      </x:c>
      <x:c r="D36" s="24"/>
      <x:c r="E36" s="19" t="str">
        <x:v>компл.</x:v>
      </x:c>
      <x:c r="F36" s="19" t="str">
        <x:v>Только после ведомости узлов</x:v>
      </x:c>
      <x:c r="G36" s="19" t="str">
        <x:v>Марки, количество и коррозионная защита</x:v>
      </x:c>
    </x:row>
    <x:row r="37" ht="65" customHeight="1">
      <x:c r="A37" s="3" t="str">
        <x:v>FIRE</x:v>
      </x:c>
      <x:c r="B37" s="3" t="str">
        <x:v>Комплектующие</x:v>
      </x:c>
      <x:c r="C37" s="19" t="str">
        <x:v>Проходка дымохода и противопожарные узлы</x:v>
      </x:c>
      <x:c r="D37" s="24"/>
      <x:c r="E37" s="19" t="str">
        <x:v>компл.</x:v>
      </x:c>
      <x:c r="F37" s="19" t="str">
        <x:v>Один показанный дымоход</x:v>
      </x:c>
      <x:c r="G37" s="19" t="str">
        <x:v>Система, отступы, усиления, герметизация и опирание</x:v>
      </x:c>
    </x:row>
    <x:row r="38" ht="65" customHeight="1">
      <x:c r="A38" s="3" t="str">
        <x:v>TEMP</x:v>
      </x:c>
      <x:c r="B38" s="3" t="str">
        <x:v>Комплектующие</x:v>
      </x:c>
      <x:c r="C38" s="19" t="str">
        <x:v>Временные связи, укрытие и монтажный материал</x:v>
      </x:c>
      <x:c r="D38" s="24"/>
      <x:c r="E38" s="19" t="str">
        <x:v>компл.</x:v>
      </x:c>
      <x:c r="F38" s="19" t="str">
        <x:v>На период сборки</x:v>
      </x:c>
      <x:c r="G38" s="19" t="str">
        <x:v>ППР и метод монтажа</x:v>
      </x:c>
    </x:row>
    <x:row r="39" ht="65" customHeight="1">
      <x:c r="A39" s="3" t="str">
        <x:v>FIN</x:v>
      </x:c>
      <x:c r="B39" s="3" t="str">
        <x:v>Отделка</x:v>
      </x:c>
      <x:c r="C39" s="19" t="str">
        <x:v>БЕЛТЕРМО, эковата стен, доска, плитка и листы</x:v>
      </x:c>
      <x:c r="D39" s="24"/>
      <x:c r="E39" s="19" t="str">
        <x:v>ведомость</x:v>
      </x:c>
      <x:c r="F39" s="19" t="str">
        <x:v>35 позиций в файле отделки и утепления</x:v>
      </x:c>
      <x:c r="G39" s="19" t="str">
        <x:v>Не прибавлять повторно; количества доступны в разделе «Материалы»</x:v>
      </x:c>
    </x:row>
    <x:row r="40" ht="26" customHeight="1">
      <x:c r="A40" s="3"/>
      <x:c r="B40" s="3"/>
      <x:c r="C40" s="3"/>
      <x:c r="D40" s="3"/>
      <x:c r="E40" s="3"/>
      <x:c r="F40" s="3"/>
      <x:c r="G40" s="3"/>
    </x:row>
    <x:row r="41" ht="26" customHeight="1">
      <x:c r="A41" s="3" t="str">
        <x:v>Существующая ведомость отделки и утепления содержит 35 позиций. Её количества повторно в этот итог не прибавляются.</x:v>
      </x:c>
      <x:c r="B41" s="3"/>
      <x:c r="C41" s="3"/>
      <x:c r="D41" s="3"/>
      <x:c r="E41" s="3"/>
      <x:c r="F41" s="3"/>
      <x:c r="G41" s="3"/>
    </x:row>
    <x:row r="42" ht="26" customHeight="1">
      <x:c r="A42" s="3" t="str">
        <x:v>Рабочие сечения, узлы, нагрузки, опоры и фундамент отсутствуют. Статус конструктивного расчёта: BLOCKING_TBC.</x:v>
      </x:c>
      <x:c r="B42" s="3"/>
      <x:c r="C42" s="3"/>
      <x:c r="D42" s="3"/>
      <x:c r="E42" s="3"/>
      <x:c r="F42" s="3"/>
      <x:c r="G42" s="3"/>
    </x:row>
    <x:row r="43" ht="26" customHeight="1">
      <x:c r="A43" s="3"/>
      <x:c r="B43" s="3"/>
      <x:c r="C43" s="3"/>
      <x:c r="D43" s="3"/>
      <x:c r="E43" s="3"/>
      <x:c r="F43" s="3"/>
      <x:c r="G43" s="3"/>
    </x:row>
  </x:sheetData>
  <x:conditionalFormatting sqref="D6:D39">
    <x:cfRule type="containsBlanks" dxfId="0" priority="1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1" hidden="0" customWidth="1"/>
    <x:col min="2" max="2" width="42" hidden="0" customWidth="1"/>
    <x:col min="3" max="3" width="15" hidden="0" customWidth="1"/>
    <x:col min="4" max="4" width="15" hidden="0" customWidth="1"/>
    <x:col min="5" max="5" width="13" hidden="0" customWidth="1"/>
    <x:col min="6" max="6" width="16" hidden="0" customWidth="1"/>
    <x:col min="7" max="7" width="20" hidden="0" customWidth="1"/>
    <x:col min="8" max="8" width="58" hidden="0" customWidth="1"/>
  </x:cols>
  <x:sheetData>
    <x:row r="1" ht="26" customHeight="1">
      <x:c r="A1" s="3"/>
      <x:c r="B1" s="3"/>
      <x:c r="C1" s="3"/>
      <x:c r="D1" s="3"/>
      <x:c r="E1" s="3"/>
      <x:c r="F1" s="3"/>
      <x:c r="G1" s="3"/>
      <x:c r="H1" s="3"/>
    </x:row>
    <x:row r="2" ht="26" customHeight="1">
      <x:c r="A2" s="4" t="str">
        <x:v>Геометрия расчёта</x:v>
      </x:c>
      <x:c r="B2" s="3"/>
      <x:c r="C2" s="3"/>
      <x:c r="D2" s="3"/>
      <x:c r="E2" s="3"/>
      <x:c r="F2" s="3"/>
      <x:c r="G2" s="3"/>
      <x:c r="H2" s="3"/>
    </x:row>
    <x:row r="3" ht="26" customHeight="1">
      <x:c r="A3" s="3" t="str">
        <x:v>Архитектурные оси и номинальные проёмы. Это не размеры распила и не монтажные размеры изделий.</x:v>
      </x:c>
      <x:c r="B3" s="3"/>
      <x:c r="C3" s="3"/>
      <x:c r="D3" s="3"/>
      <x:c r="E3" s="3"/>
      <x:c r="F3" s="3"/>
      <x:c r="G3" s="3"/>
      <x:c r="H3" s="3"/>
    </x:row>
    <x:row r="4" ht="26" customHeight="1">
      <x:c r="A4" s="3"/>
      <x:c r="B4" s="3"/>
      <x:c r="C4" s="3"/>
      <x:c r="D4" s="3"/>
      <x:c r="E4" s="3"/>
      <x:c r="F4" s="3"/>
      <x:c r="G4" s="3"/>
      <x:c r="H4" s="3"/>
    </x:row>
    <x:row r="5" ht="36" customHeight="1">
      <x:c r="A5" s="11" t="str">
        <x:v>ID</x:v>
      </x:c>
      <x:c r="B5" s="11" t="str">
        <x:v>Участок</x:v>
      </x:c>
      <x:c r="C5" s="11" t="str">
        <x:v>Длина, мм</x:v>
      </x:c>
      <x:c r="D5" s="11" t="str">
        <x:v>Высота, мм</x:v>
      </x:c>
      <x:c r="E5" s="11" t="str">
        <x:v>Глубина, мм</x:v>
      </x:c>
      <x:c r="F5" s="11" t="str">
        <x:v>Стойки, шт.</x:v>
      </x:c>
      <x:c r="G5" s="11" t="str">
        <x:v>Проёмы</x:v>
      </x:c>
      <x:c r="H5" s="11" t="str">
        <x:v>Основание</x:v>
      </x:c>
    </x:row>
    <x:row r="6" ht="36" customHeight="1">
      <x:c r="A6" s="3" t="str">
        <x:v>EXT-N</x:v>
      </x:c>
      <x:c r="B6" s="19" t="str">
        <x:v>Наружная северная</x:v>
      </x:c>
      <x:c r="C6" s="20" t="n">
        <x:v>11160</x:v>
      </x:c>
      <x:c r="D6" s="20" t="n">
        <x:v>3300</x:v>
      </x:c>
      <x:c r="E6" s="20" t="n">
        <x:v>200</x:v>
      </x:c>
      <x:c r="F6" s="20" t="n">
        <x:v>21</x:v>
      </x:c>
      <x:c r="G6" s="3" t="str">
        <x:v>D02, W06, D01</x:v>
      </x:c>
      <x:c r="H6" s="3" t="str">
        <x:v>G1; шаг 600 мм, одиночные края.</x:v>
      </x:c>
    </x:row>
    <x:row r="7" ht="36" customHeight="1">
      <x:c r="A7" s="3" t="str">
        <x:v>EXT-E</x:v>
      </x:c>
      <x:c r="B7" s="19" t="str">
        <x:v>Наружная восточная</x:v>
      </x:c>
      <x:c r="C7" s="20" t="n">
        <x:v>7760</x:v>
      </x:c>
      <x:c r="D7" s="20" t="n">
        <x:v>3300</x:v>
      </x:c>
      <x:c r="E7" s="20" t="n">
        <x:v>200</x:v>
      </x:c>
      <x:c r="F7" s="20" t="n">
        <x:v>15</x:v>
      </x:c>
      <x:c r="G7" s="3" t="str">
        <x:v>W03, W04</x:v>
      </x:c>
      <x:c r="H7" s="3" t="str">
        <x:v>G1; шаг 600 мм, одиночные края.</x:v>
      </x:c>
    </x:row>
    <x:row r="8" ht="36" customHeight="1">
      <x:c r="A8" s="3" t="str">
        <x:v>EXT-S</x:v>
      </x:c>
      <x:c r="B8" s="19" t="str">
        <x:v>Наружная южная</x:v>
      </x:c>
      <x:c r="C8" s="20" t="n">
        <x:v>11160</x:v>
      </x:c>
      <x:c r="D8" s="20" t="n">
        <x:v>3300</x:v>
      </x:c>
      <x:c r="E8" s="20" t="n">
        <x:v>200</x:v>
      </x:c>
      <x:c r="F8" s="20" t="n">
        <x:v>18</x:v>
      </x:c>
      <x:c r="G8" s="3" t="str">
        <x:v>W05, W02</x:v>
      </x:c>
      <x:c r="H8" s="3" t="str">
        <x:v>G1; шаг 600 мм, одиночные края.</x:v>
      </x:c>
    </x:row>
    <x:row r="9" ht="36" customHeight="1">
      <x:c r="A9" s="3" t="str">
        <x:v>EXT-W</x:v>
      </x:c>
      <x:c r="B9" s="19" t="str">
        <x:v>Наружная западная</x:v>
      </x:c>
      <x:c r="C9" s="20" t="n">
        <x:v>7760</x:v>
      </x:c>
      <x:c r="D9" s="20" t="n">
        <x:v>3300</x:v>
      </x:c>
      <x:c r="E9" s="20" t="n">
        <x:v>200</x:v>
      </x:c>
      <x:c r="F9" s="20" t="n">
        <x:v>5</x:v>
      </x:c>
      <x:c r="G9" s="3" t="str">
        <x:v>W01</x:v>
      </x:c>
      <x:c r="H9" s="3" t="str">
        <x:v>G1; шаг 600 мм, одиночные края.</x:v>
      </x:c>
    </x:row>
    <x:row r="10" ht="36" customHeight="1">
      <x:c r="A10" s="3" t="str">
        <x:v>P44-P01</x:v>
      </x:c>
      <x:c r="B10" s="19" t="str">
        <x:v>Общая зона — прихожая</x:v>
      </x:c>
      <x:c r="C10" s="20" t="n">
        <x:v>2380</x:v>
      </x:c>
      <x:c r="D10" s="20" t="n">
        <x:v>3000</x:v>
      </x:c>
      <x:c r="E10" s="20" t="n">
        <x:v>140</x:v>
      </x:c>
      <x:c r="F10" s="20" t="n">
        <x:v>5</x:v>
      </x:c>
      <x:c r="G10" s="3" t="str"/>
      <x:c r="H10" s="3" t="str">
        <x:v>G1; шаг 600 мм, одиночные края.</x:v>
      </x:c>
    </x:row>
    <x:row r="11" ht="36" customHeight="1">
      <x:c r="A11" s="3" t="str">
        <x:v>P44-WB02</x:v>
      </x:c>
      <x:c r="B11" s="19" t="str">
        <x:v>Северная линия спален</x:v>
      </x:c>
      <x:c r="C11" s="20" t="n">
        <x:v>7560</x:v>
      </x:c>
      <x:c r="D11" s="20" t="n">
        <x:v>3000</x:v>
      </x:c>
      <x:c r="E11" s="20" t="n">
        <x:v>140</x:v>
      </x:c>
      <x:c r="F11" s="20" t="n">
        <x:v>16</x:v>
      </x:c>
      <x:c r="G11" s="3" t="str">
        <x:v>D04, D05, D06</x:v>
      </x:c>
      <x:c r="H11" s="3" t="str">
        <x:v>G1; шаг 600 мм, одиночные края.</x:v>
      </x:c>
    </x:row>
    <x:row r="12" ht="36" customHeight="1">
      <x:c r="A12" s="3" t="str">
        <x:v>P44-P02</x:v>
      </x:c>
      <x:c r="B12" s="19" t="str">
        <x:v>Общая зона — спальня 2</x:v>
      </x:c>
      <x:c r="C12" s="20" t="n">
        <x:v>3600</x:v>
      </x:c>
      <x:c r="D12" s="20" t="n">
        <x:v>3000</x:v>
      </x:c>
      <x:c r="E12" s="20" t="n">
        <x:v>140</x:v>
      </x:c>
      <x:c r="F12" s="20" t="n">
        <x:v>7</x:v>
      </x:c>
      <x:c r="G12" s="3" t="str"/>
      <x:c r="H12" s="3" t="str">
        <x:v>G1; шаг 600 мм, одиночные края.</x:v>
      </x:c>
    </x:row>
    <x:row r="13" ht="36" customHeight="1">
      <x:c r="A13" s="3" t="str">
        <x:v>P44-P03</x:v>
      </x:c>
      <x:c r="B13" s="19" t="str">
        <x:v>Между спальнями</x:v>
      </x:c>
      <x:c r="C13" s="20" t="n">
        <x:v>3600</x:v>
      </x:c>
      <x:c r="D13" s="20" t="n">
        <x:v>3000</x:v>
      </x:c>
      <x:c r="E13" s="20" t="n">
        <x:v>140</x:v>
      </x:c>
      <x:c r="F13" s="20" t="n">
        <x:v>7</x:v>
      </x:c>
      <x:c r="G13" s="3" t="str"/>
      <x:c r="H13" s="3" t="str">
        <x:v>G1; шаг 600 мм, одиночные края.</x:v>
      </x:c>
    </x:row>
    <x:row r="14" ht="36" customHeight="1">
      <x:c r="A14" s="3" t="str">
        <x:v>P44-P04</x:v>
      </x:c>
      <x:c r="B14" s="19" t="str">
        <x:v>Между санузлами</x:v>
      </x:c>
      <x:c r="C14" s="20" t="n">
        <x:v>2700</x:v>
      </x:c>
      <x:c r="D14" s="20" t="n">
        <x:v>3000</x:v>
      </x:c>
      <x:c r="E14" s="20" t="n">
        <x:v>140</x:v>
      </x:c>
      <x:c r="F14" s="20" t="n">
        <x:v>6</x:v>
      </x:c>
      <x:c r="G14" s="3" t="str"/>
      <x:c r="H14" s="3" t="str">
        <x:v>G1; шаг 600 мм, одиночные края.</x:v>
      </x:c>
    </x:row>
    <x:row r="15" ht="36" customHeight="1">
      <x:c r="A15" s="3" t="str">
        <x:v>P48-WB01-N</x:v>
      </x:c>
      <x:c r="B15" s="19" t="str">
        <x:v>Прихожая — гостевой санузел</x:v>
      </x:c>
      <x:c r="C15" s="20" t="n">
        <x:v>1840</x:v>
      </x:c>
      <x:c r="D15" s="20" t="n">
        <x:v>3000</x:v>
      </x:c>
      <x:c r="E15" s="20" t="n">
        <x:v>140</x:v>
      </x:c>
      <x:c r="F15" s="20" t="n">
        <x:v>6</x:v>
      </x:c>
      <x:c r="G15" s="3" t="str">
        <x:v>D03</x:v>
      </x:c>
      <x:c r="H15" s="3" t="str">
        <x:v>G1; шаг 600 мм, одиночные края.</x:v>
      </x:c>
    </x:row>
    <x:row r="16" ht="36" customHeight="1">
      <x:c r="A16" s="3" t="str">
        <x:v>P48-WB01-STEP</x:v>
      </x:c>
      <x:c r="B16" s="19" t="str">
        <x:v>Ступень перегородки санузлов</x:v>
      </x:c>
      <x:c r="C16" s="20" t="n">
        <x:v>700</x:v>
      </x:c>
      <x:c r="D16" s="20" t="n">
        <x:v>3000</x:v>
      </x:c>
      <x:c r="E16" s="20" t="n">
        <x:v>140</x:v>
      </x:c>
      <x:c r="F16" s="20" t="n">
        <x:v>3</x:v>
      </x:c>
      <x:c r="G16" s="3" t="str"/>
      <x:c r="H16" s="3" t="str">
        <x:v>G1; шаг 600 мм, одиночные края.</x:v>
      </x:c>
    </x:row>
    <x:row r="17" ht="36" customHeight="1">
      <x:c r="A17" s="3" t="str">
        <x:v>P48-WB01-S</x:v>
      </x:c>
      <x:c r="B17" s="19" t="str">
        <x:v>Прихожая — хозяйский санузел</x:v>
      </x:c>
      <x:c r="C17" s="20" t="n">
        <x:v>1520</x:v>
      </x:c>
      <x:c r="D17" s="20" t="n">
        <x:v>3000</x:v>
      </x:c>
      <x:c r="E17" s="20" t="n">
        <x:v>140</x:v>
      </x:c>
      <x:c r="F17" s="20" t="n">
        <x:v>4</x:v>
      </x:c>
      <x:c r="G17" s="3" t="str"/>
      <x:c r="H17" s="3" t="str">
        <x:v>G1; шаг 600 мм, одиночные края.</x:v>
      </x:c>
    </x:row>
    <x:row r="18" ht="26" customHeight="1">
      <x:c r="A18" s="3"/>
      <x:c r="B18" s="3"/>
      <x:c r="C18" s="3"/>
      <x:c r="D18" s="3"/>
      <x:c r="E18" s="3"/>
      <x:c r="F18" s="3"/>
      <x:c r="G18" s="3"/>
      <x:c r="H18" s="3"/>
    </x:row>
    <x:row r="19" ht="26" customHeight="1">
      <x:c r="A19" s="3"/>
      <x:c r="B19" s="3"/>
      <x:c r="C19" s="3"/>
      <x:c r="D19" s="3"/>
      <x:c r="E19" s="3"/>
      <x:c r="F19" s="3"/>
      <x:c r="G19" s="3"/>
      <x:c r="H19" s="3"/>
    </x:row>
    <x:row r="20" ht="36" customHeight="1">
      <x:c r="A20" s="11" t="str">
        <x:v>Проём</x:v>
      </x:c>
      <x:c r="B20" s="11" t="str">
        <x:v>Стена</x:v>
      </x:c>
      <x:c r="C20" s="11" t="str">
        <x:v>Ширина, мм</x:v>
      </x:c>
      <x:c r="D20" s="11" t="str">
        <x:v>Низ, мм</x:v>
      </x:c>
      <x:c r="E20" s="11" t="str">
        <x:v>Верх, мм</x:v>
      </x:c>
      <x:c r="F20" s="11" t="str">
        <x:v>Перемычка</x:v>
      </x:c>
      <x:c r="G20" s="11"/>
      <x:c r="H20" s="11" t="str">
        <x:v>Комментарий</x:v>
      </x:c>
    </x:row>
    <x:row r="21" ht="26" customHeight="1">
      <x:c r="A21" s="3" t="str">
        <x:v>D02</x:v>
      </x:c>
      <x:c r="B21" s="3" t="str">
        <x:v>EXT-N</x:v>
      </x:c>
      <x:c r="C21" s="20" t="n">
        <x:v>1200</x:v>
      </x:c>
      <x:c r="D21" s="20" t="n">
        <x:v>0</x:v>
      </x:c>
      <x:c r="E21" s="20" t="n">
        <x:v>2400</x:v>
      </x:c>
      <x:c r="F21" s="3" t="str">
        <x:v>Не рассчитана</x:v>
      </x:c>
      <x:c r="G21" s="3"/>
      <x:c r="H21" s="3" t="str">
        <x:v>Графические отметки; опирание не задано.</x:v>
      </x:c>
    </x:row>
    <x:row r="22" ht="26" customHeight="1">
      <x:c r="A22" s="3" t="str">
        <x:v>W06</x:v>
      </x:c>
      <x:c r="B22" s="3" t="str">
        <x:v>EXT-N</x:v>
      </x:c>
      <x:c r="C22" s="20" t="n">
        <x:v>1200</x:v>
      </x:c>
      <x:c r="D22" s="20" t="n">
        <x:v>1000</x:v>
      </x:c>
      <x:c r="E22" s="20" t="n">
        <x:v>2200</x:v>
      </x:c>
      <x:c r="F22" s="3" t="str">
        <x:v>Не рассчитана</x:v>
      </x:c>
      <x:c r="G22" s="3"/>
      <x:c r="H22" s="3" t="str">
        <x:v>Графические отметки; опирание не задано.</x:v>
      </x:c>
    </x:row>
    <x:row r="23" ht="26" customHeight="1">
      <x:c r="A23" s="3" t="str">
        <x:v>D01</x:v>
      </x:c>
      <x:c r="B23" s="3" t="str">
        <x:v>EXT-N</x:v>
      </x:c>
      <x:c r="C23" s="20" t="n">
        <x:v>900</x:v>
      </x:c>
      <x:c r="D23" s="20" t="n">
        <x:v>0</x:v>
      </x:c>
      <x:c r="E23" s="20" t="n">
        <x:v>2400</x:v>
      </x:c>
      <x:c r="F23" s="3" t="str">
        <x:v>Не рассчитана</x:v>
      </x:c>
      <x:c r="G23" s="3"/>
      <x:c r="H23" s="3" t="str">
        <x:v>Графические отметки; опирание не задано.</x:v>
      </x:c>
    </x:row>
    <x:row r="24" ht="26" customHeight="1">
      <x:c r="A24" s="3" t="str">
        <x:v>W03</x:v>
      </x:c>
      <x:c r="B24" s="3" t="str">
        <x:v>EXT-E</x:v>
      </x:c>
      <x:c r="C24" s="20" t="n">
        <x:v>800</x:v>
      </x:c>
      <x:c r="D24" s="20" t="n">
        <x:v>2000</x:v>
      </x:c>
      <x:c r="E24" s="20" t="n">
        <x:v>2900</x:v>
      </x:c>
      <x:c r="F24" s="3" t="str">
        <x:v>Не рассчитана</x:v>
      </x:c>
      <x:c r="G24" s="3"/>
      <x:c r="H24" s="3" t="str">
        <x:v>Графические отметки; опирание не задано.</x:v>
      </x:c>
    </x:row>
    <x:row r="25" ht="26" customHeight="1">
      <x:c r="A25" s="3" t="str">
        <x:v>W04</x:v>
      </x:c>
      <x:c r="B25" s="3" t="str">
        <x:v>EXT-E</x:v>
      </x:c>
      <x:c r="C25" s="20" t="n">
        <x:v>800</x:v>
      </x:c>
      <x:c r="D25" s="20" t="n">
        <x:v>2000</x:v>
      </x:c>
      <x:c r="E25" s="20" t="n">
        <x:v>2900</x:v>
      </x:c>
      <x:c r="F25" s="3" t="str">
        <x:v>Не рассчитана</x:v>
      </x:c>
      <x:c r="G25" s="3"/>
      <x:c r="H25" s="3" t="str">
        <x:v>Графические отметки; опирание не задано.</x:v>
      </x:c>
    </x:row>
    <x:row r="26" ht="26" customHeight="1">
      <x:c r="A26" s="3" t="str">
        <x:v>W05</x:v>
      </x:c>
      <x:c r="B26" s="3" t="str">
        <x:v>EXT-S</x:v>
      </x:c>
      <x:c r="C26" s="20" t="n">
        <x:v>1600</x:v>
      </x:c>
      <x:c r="D26" s="20" t="n">
        <x:v>0</x:v>
      </x:c>
      <x:c r="E26" s="20" t="n">
        <x:v>2400</x:v>
      </x:c>
      <x:c r="F26" s="3" t="str">
        <x:v>Не рассчитана</x:v>
      </x:c>
      <x:c r="G26" s="3"/>
      <x:c r="H26" s="3" t="str">
        <x:v>Графические отметки; опирание не задано.</x:v>
      </x:c>
    </x:row>
    <x:row r="27" ht="26" customHeight="1">
      <x:c r="A27" s="3" t="str">
        <x:v>W02</x:v>
      </x:c>
      <x:c r="B27" s="3" t="str">
        <x:v>EXT-S</x:v>
      </x:c>
      <x:c r="C27" s="20" t="n">
        <x:v>1600</x:v>
      </x:c>
      <x:c r="D27" s="20" t="n">
        <x:v>0</x:v>
      </x:c>
      <x:c r="E27" s="20" t="n">
        <x:v>2400</x:v>
      </x:c>
      <x:c r="F27" s="3" t="str">
        <x:v>Не рассчитана</x:v>
      </x:c>
      <x:c r="G27" s="3"/>
      <x:c r="H27" s="3" t="str">
        <x:v>Графические отметки; опирание не задано.</x:v>
      </x:c>
    </x:row>
    <x:row r="28" ht="26" customHeight="1">
      <x:c r="A28" s="3" t="str">
        <x:v>W01</x:v>
      </x:c>
      <x:c r="B28" s="3" t="str">
        <x:v>EXT-W</x:v>
      </x:c>
      <x:c r="C28" s="20" t="n">
        <x:v>6700</x:v>
      </x:c>
      <x:c r="D28" s="20" t="n">
        <x:v>0</x:v>
      </x:c>
      <x:c r="E28" s="20" t="n">
        <x:v>3000</x:v>
      </x:c>
      <x:c r="F28" s="3" t="str">
        <x:v>Не рассчитана</x:v>
      </x:c>
      <x:c r="G28" s="3"/>
      <x:c r="H28" s="3" t="str">
        <x:v>Панорама 6700 мм: отдельный расчёт.</x:v>
      </x:c>
    </x:row>
    <x:row r="29" ht="26" customHeight="1">
      <x:c r="A29" s="3" t="str">
        <x:v>D04</x:v>
      </x:c>
      <x:c r="B29" s="3" t="str">
        <x:v>P44-WB02</x:v>
      </x:c>
      <x:c r="C29" s="20" t="n">
        <x:v>900</x:v>
      </x:c>
      <x:c r="D29" s="20" t="n">
        <x:v>0</x:v>
      </x:c>
      <x:c r="E29" s="20" t="n">
        <x:v>2100</x:v>
      </x:c>
      <x:c r="F29" s="3" t="str">
        <x:v>Не рассчитана</x:v>
      </x:c>
      <x:c r="G29" s="3"/>
      <x:c r="H29" s="3" t="str">
        <x:v>Графические отметки; опирание не задано.</x:v>
      </x:c>
    </x:row>
    <x:row r="30" ht="26" customHeight="1">
      <x:c r="A30" s="3" t="str">
        <x:v>D05</x:v>
      </x:c>
      <x:c r="B30" s="3" t="str">
        <x:v>P44-WB02</x:v>
      </x:c>
      <x:c r="C30" s="20" t="n">
        <x:v>900</x:v>
      </x:c>
      <x:c r="D30" s="20" t="n">
        <x:v>0</x:v>
      </x:c>
      <x:c r="E30" s="20" t="n">
        <x:v>2100</x:v>
      </x:c>
      <x:c r="F30" s="3" t="str">
        <x:v>Не рассчитана</x:v>
      </x:c>
      <x:c r="G30" s="3"/>
      <x:c r="H30" s="3" t="str">
        <x:v>Графические отметки; опирание не задано.</x:v>
      </x:c>
    </x:row>
    <x:row r="31" ht="26" customHeight="1">
      <x:c r="A31" s="3" t="str">
        <x:v>D06</x:v>
      </x:c>
      <x:c r="B31" s="3" t="str">
        <x:v>P44-WB02</x:v>
      </x:c>
      <x:c r="C31" s="20" t="n">
        <x:v>900</x:v>
      </x:c>
      <x:c r="D31" s="20" t="n">
        <x:v>0</x:v>
      </x:c>
      <x:c r="E31" s="20" t="n">
        <x:v>2100</x:v>
      </x:c>
      <x:c r="F31" s="3" t="str">
        <x:v>Не рассчитана</x:v>
      </x:c>
      <x:c r="G31" s="3"/>
      <x:c r="H31" s="3" t="str">
        <x:v>Графические отметки; опирание не задано.</x:v>
      </x:c>
    </x:row>
    <x:row r="32" ht="26" customHeight="1">
      <x:c r="A32" s="3" t="str">
        <x:v>D03</x:v>
      </x:c>
      <x:c r="B32" s="3" t="str">
        <x:v>P48-WB01-N</x:v>
      </x:c>
      <x:c r="C32" s="20" t="n">
        <x:v>900</x:v>
      </x:c>
      <x:c r="D32" s="20" t="n">
        <x:v>0</x:v>
      </x:c>
      <x:c r="E32" s="20" t="n">
        <x:v>2100</x:v>
      </x:c>
      <x:c r="F32" s="3" t="str">
        <x:v>Не рассчитана</x:v>
      </x:c>
      <x:c r="G32" s="3"/>
      <x:c r="H32" s="3" t="str">
        <x:v>Графические отметки; опирание не задано.</x:v>
      </x:c>
    </x:row>
    <x:row r="33" ht="26" customHeight="1">
      <x:c r="A33" s="3"/>
      <x:c r="B33" s="3"/>
      <x:c r="C33" s="3"/>
      <x:c r="D33" s="3"/>
      <x:c r="E33" s="3"/>
      <x:c r="F33" s="3"/>
      <x:c r="G33" s="3"/>
      <x:c r="H33" s="3"/>
    </x:row>
    <x:row r="34" ht="26" customHeight="1">
      <x:c r="A34" s="3"/>
      <x:c r="B34" s="3"/>
      <x:c r="C34" s="3"/>
      <x:c r="D34" s="3"/>
      <x:c r="E34" s="3"/>
      <x:c r="F34" s="3"/>
      <x:c r="G34" s="3"/>
      <x:c r="H34" s="3"/>
    </x:row>
    <x:row r="35" ht="36" customHeight="1">
      <x:c r="A35" s="11" t="str">
        <x:v>Кровля</x:v>
      </x:c>
      <x:c r="B35" s="11" t="str">
        <x:v>Геометрия</x:v>
      </x:c>
      <x:c r="C35" s="11" t="str">
        <x:v>Количество</x:v>
      </x:c>
      <x:c r="D35" s="11" t="str">
        <x:v>Единица</x:v>
      </x:c>
      <x:c r="E35" s="11"/>
      <x:c r="F35" s="11"/>
      <x:c r="G35" s="11"/>
      <x:c r="H35" s="11" t="str">
        <x:v>Ограничение</x:v>
      </x:c>
    </x:row>
    <x:row r="36" ht="26" customHeight="1">
      <x:c r="A36" s="3" t="str">
        <x:v>ROOF</x:v>
      </x:c>
      <x:c r="B36" s="3" t="str">
        <x:v>Два ската</x:v>
      </x:c>
      <x:c r="C36" s="12" t="n">
        <x:v>124.2904</x:v>
      </x:c>
      <x:c r="D36" s="3" t="str">
        <x:v>м²</x:v>
      </x:c>
      <x:c r="E36" s="3"/>
      <x:c r="F36" s="3"/>
      <x:c r="G36" s="3"/>
      <x:c r="H36" s="3" t="str">
        <x:v>Покрытие без запаса</x:v>
      </x:c>
    </x:row>
    <x:row r="37" ht="26" customHeight="1">
      <x:c r="A37" s="3" t="str">
        <x:v>CANOPY</x:v>
      </x:c>
      <x:c r="B37" s="3" t="str">
        <x:v>Навес 2% наружу</x:v>
      </x:c>
      <x:c r="C37" s="12" t="n">
        <x:v>71.84836536360726</x:v>
      </x:c>
      <x:c r="D37" s="3" t="str">
        <x:v>м²</x:v>
      </x:c>
      <x:c r="E37" s="3"/>
      <x:c r="F37" s="3"/>
      <x:c r="G37" s="3"/>
      <x:c r="H37" s="3" t="str">
        <x:v>Уклон и высоты предварительные</x:v>
      </x:c>
    </x:row>
    <x:row r="38" ht="26" customHeight="1">
      <x:c r="A38" s="3" t="str">
        <x:v>RAFTER</x:v>
      </x:c>
      <x:c r="B38" s="3" t="str">
        <x:v>25 пар × 2 × 4.42 м</x:v>
      </x:c>
      <x:c r="C38" s="12" t="n">
        <x:v>221</x:v>
      </x:c>
      <x:c r="D38" s="3" t="str">
        <x:v>м</x:v>
      </x:c>
      <x:c r="E38" s="3"/>
      <x:c r="F38" s="3"/>
      <x:c r="G38" s="3"/>
      <x:c r="H38" s="3" t="str">
        <x:v>Сечение не назначено</x:v>
      </x:c>
    </x:row>
    <x:row r="39" ht="26" customHeight="1">
      <x:c r="A39" s="3" t="str">
        <x:v>JOIST</x:v>
      </x:c>
      <x:c r="B39" s="3" t="str">
        <x:v>26 линий навеса</x:v>
      </x:c>
      <x:c r="C39" s="12" t="n">
        <x:v>127.42547745250945</x:v>
      </x:c>
      <x:c r="D39" s="3" t="str">
        <x:v>м</x:v>
      </x:c>
      <x:c r="E39" s="3"/>
      <x:c r="F39" s="3"/>
      <x:c r="G39" s="3"/>
      <x:c r="H39" s="3" t="str">
        <x:v>Опоры и сечение не назначены</x:v>
      </x:c>
    </x:row>
    <x:row r="40" ht="26" customHeight="1">
      <x:c r="A40" s="3" t="str">
        <x:v>FOOTPRINT</x:v>
      </x:c>
      <x:c r="B40" s="3" t="str">
        <x:v>Контур дома</x:v>
      </x:c>
      <x:c r="C40" s="12" t="n">
        <x:v>94.3296</x:v>
      </x:c>
      <x:c r="D40" s="3" t="str">
        <x:v>м²</x:v>
      </x:c>
      <x:c r="E40" s="3"/>
      <x:c r="F40" s="3"/>
      <x:c r="G40" s="3"/>
      <x:c r="H40" s="3" t="str">
        <x:v>Это не объём бетона</x:v>
      </x:c>
    </x:row>
    <x:row r="41" ht="26" customHeight="1">
      <x:c r="A41" s="3" t="str">
        <x:v>DECK</x:v>
      </x:c>
      <x:c r="B41" s="3" t="str">
        <x:v>Деревянная терраса</x:v>
      </x:c>
      <x:c r="C41" s="12" t="n">
        <x:v>59.774</x:v>
      </x:c>
      <x:c r="D41" s="3" t="str">
        <x:v>м²</x:v>
      </x:c>
      <x:c r="E41" s="3"/>
      <x:c r="F41" s="3"/>
      <x:c r="G41" s="3"/>
      <x:c r="H41" s="3" t="str">
        <x:v>Сечения лаг не назначены</x:v>
      </x:c>
    </x:row>
    <x:row r="42" ht="26" customHeight="1">
      <x:c r="A42" s="3"/>
      <x:c r="B42" s="3"/>
      <x:c r="C42" s="3"/>
      <x:c r="D42" s="3"/>
      <x:c r="E42" s="3"/>
      <x:c r="F42" s="3"/>
      <x:c r="G42" s="3"/>
      <x:c r="H42" s="3"/>
    </x:row>
    <x:row r="43" ht="26" customHeight="1">
      <x:c r="A43" s="3"/>
      <x:c r="B43" s="3"/>
      <x:c r="C43" s="3"/>
      <x:c r="D43" s="3"/>
      <x:c r="E43" s="3"/>
      <x:c r="F43" s="3"/>
      <x:c r="G43" s="3"/>
      <x:c r="H43" s="3"/>
    </x:row>
    <x:row r="44" ht="26" customHeight="1">
      <x:c r="A44" s="3" t="str">
        <x:v>Восстановление шага: позиции 0, 600, 1200… и конец стены. Удалены точки внутри проёмов, добавлены их края.</x:v>
      </x:c>
      <x:c r="B44" s="3"/>
      <x:c r="C44" s="3"/>
      <x:c r="D44" s="3"/>
      <x:c r="E44" s="3"/>
      <x:c r="F44" s="3"/>
      <x:c r="G44" s="3"/>
      <x:c r="H44" s="3"/>
    </x:row>
    <x:row r="45" ht="26" customHeight="1">
      <x:c r="A45" s="3" t="str">
        <x:v>Если точка сетки ближе 50 мм к краю проёма, она заменяется крайней стойкой. Рабочие узлы могут изменить количество.</x:v>
      </x:c>
      <x:c r="B45" s="3"/>
      <x:c r="C45" s="3"/>
      <x:c r="D45" s="3"/>
      <x:c r="E45" s="3"/>
      <x:c r="F45" s="3"/>
      <x:c r="G45" s="3"/>
      <x:c r="H45" s="3"/>
    </x:row>
    <x:row r="46" ht="26" customHeight="1">
      <x:c r="A46" s="3" t="str">
        <x:v>P44-P02 укорочена на 200 мм в месте общего пятна стены с P44-WB02. Сумма перегородок 23.900 м.</x:v>
      </x:c>
      <x:c r="B46" s="3"/>
      <x:c r="C46" s="3"/>
      <x:c r="D46" s="3"/>
      <x:c r="E46" s="3"/>
      <x:c r="F46" s="3"/>
      <x:c r="G46" s="3"/>
      <x:c r="H46" s="3"/>
    </x:row>
    <x:row r="47" ht="26" customHeight="1">
      <x:c r="A47" s="3" t="str">
        <x:v>Кровля: sqrt(4.080² + 1.700²) = 4.420 м. Два ската: 14.060 × 4.420 × 2 = 124.2904 м².</x:v>
      </x:c>
      <x:c r="B47" s="3"/>
      <x:c r="C47" s="3"/>
      <x:c r="D47" s="3"/>
      <x:c r="E47" s="3"/>
      <x:c r="F47" s="3"/>
      <x:c r="G47" s="3"/>
      <x:c r="H47" s="3"/>
    </x:row>
    <x:row r="48" ht="26" customHeight="1">
      <x:c r="A48" s="3"/>
      <x:c r="B48" s="3"/>
      <x:c r="C48" s="3"/>
      <x:c r="D48" s="3"/>
      <x:c r="E48" s="3"/>
      <x:c r="F48" s="3"/>
      <x:c r="G48" s="3"/>
      <x:c r="H48" s="3"/>
    </x:row>
    <x:row r="49" ht="26" customHeight="1">
      <x:c r="A49" s="3"/>
      <x:c r="B49" s="3"/>
      <x:c r="C49" s="3"/>
      <x:c r="D49" s="3"/>
      <x:c r="E49" s="3"/>
      <x:c r="F49" s="3"/>
      <x:c r="G49" s="3"/>
      <x:c r="H49" s="3"/>
    </x:row>
  </x:sheetData>
  <x:pageMargins left="0.7" right="0.7" top="0.75" bottom="0.75" header="0.3" footer="0.3"/>
</x:worksheet>
</file>